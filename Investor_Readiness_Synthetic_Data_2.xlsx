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indows\Desktop\NMIMS\Trim 4\Illuminati\Investor_Readiness_Scoring\"/>
    </mc:Choice>
  </mc:AlternateContent>
  <xr:revisionPtr revIDLastSave="0" documentId="13_ncr:1_{FA62A399-0898-4AF5-B3D2-92306EB894F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 Me" sheetId="1" r:id="rId1"/>
    <sheet name="Quarterly Financials" sheetId="2" r:id="rId2"/>
    <sheet name="Segment Data" sheetId="3" r:id="rId3"/>
    <sheet name="Management Commitments" sheetId="4" r:id="rId4"/>
    <sheet name="Management Commentary" sheetId="5" r:id="rId5"/>
    <sheet name="Prior Earnings Call" sheetId="6" r:id="rId6"/>
    <sheet name="Analyst Expectations" sheetId="7" r:id="rId7"/>
    <sheet name="Operational KPIs" sheetId="8" r:id="rId8"/>
    <sheet name="Cash Flow Bridge" sheetId="9" r:id="rId9"/>
    <sheet name="Investor Risk Map" sheetId="10" r:id="rId10"/>
    <sheet name="Investor Questions" sheetId="11" r:id="rId11"/>
    <sheet name="Response Review" sheetId="12" r:id="rId12"/>
    <sheet name="Leadership Preparation" sheetId="13" r:id="rId13"/>
    <sheet name="Disclosure Evidence" sheetId="14" r:id="rId14"/>
    <sheet name="Dashboard" sheetId="15" r:id="rId15"/>
  </sheets>
  <calcPr calcId="191029"/>
</workbook>
</file>

<file path=xl/calcChain.xml><?xml version="1.0" encoding="utf-8"?>
<calcChain xmlns="http://schemas.openxmlformats.org/spreadsheetml/2006/main">
  <c r="H10" i="10" l="1"/>
  <c r="H9" i="10"/>
  <c r="H8" i="10"/>
  <c r="H7" i="10"/>
  <c r="H6" i="10"/>
  <c r="H5" i="10"/>
  <c r="H4" i="10"/>
  <c r="H3" i="10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</calcChain>
</file>

<file path=xl/sharedStrings.xml><?xml version="1.0" encoding="utf-8"?>
<sst xmlns="http://schemas.openxmlformats.org/spreadsheetml/2006/main" count="1156" uniqueCount="674">
  <si>
    <t>Purpose</t>
  </si>
  <si>
    <t>A deeper synthetic disclosure pack for the Investor Readiness Engine prototype.</t>
  </si>
  <si>
    <t>Latest Quarter</t>
  </si>
  <si>
    <t>Q2 FY25</t>
  </si>
  <si>
    <t>Scenario</t>
  </si>
  <si>
    <t>Revenue growth remains strong, but profitability, cash conversion and segment momentum create investor pressure.</t>
  </si>
  <si>
    <t>Data Type</t>
  </si>
  <si>
    <t>Fully synthetic; created solely for demonstration.</t>
  </si>
  <si>
    <t>Key assumption</t>
  </si>
  <si>
    <t>Segment revenue may differ from consolidated revenue because of inter-segment eliminations and corporate adjustments.</t>
  </si>
  <si>
    <t>Current margin</t>
  </si>
  <si>
    <t>18% vs previous commitment of &gt;20%</t>
  </si>
  <si>
    <t>Current operating cash flow</t>
  </si>
  <si>
    <t>₹110 Cr; lower than ₹180 Cr in Q4 FY24 and ₹150 Cr in Q1 FY25</t>
  </si>
  <si>
    <t>Quarterly Financials | 8-Quarter Trend</t>
  </si>
  <si>
    <t>Metric</t>
  </si>
  <si>
    <t>Units</t>
  </si>
  <si>
    <t>Q3 FY23</t>
  </si>
  <si>
    <t>Q4 FY23</t>
  </si>
  <si>
    <t>Q1 FY24</t>
  </si>
  <si>
    <t>Q2 FY24</t>
  </si>
  <si>
    <t>Q3 FY24</t>
  </si>
  <si>
    <t>Q4 FY24</t>
  </si>
  <si>
    <t>Q1 FY25</t>
  </si>
  <si>
    <t>YoY Change</t>
  </si>
  <si>
    <t>QoQ Change</t>
  </si>
  <si>
    <t>Latest-quarter interpretation</t>
  </si>
  <si>
    <t>Revenue</t>
  </si>
  <si>
    <t>₹ Cr</t>
  </si>
  <si>
    <t>Topline growth accelerated; Q2 FY25 growth creates strong optics but raises profitability expectations.</t>
  </si>
  <si>
    <t>Operating Profit</t>
  </si>
  <si>
    <t>Operating profit declined despite revenue growth, creating the primary profitability question.</t>
  </si>
  <si>
    <t>Operating Margin</t>
  </si>
  <si>
    <t>%</t>
  </si>
  <si>
    <t>Margin fell to 18%, below the previous &gt;20% management expectation.</t>
  </si>
  <si>
    <t>Operating Cash Flow</t>
  </si>
  <si>
    <t>Cash generation weakened as working capital absorbed more cash.</t>
  </si>
  <si>
    <t>Capital Expenditure</t>
  </si>
  <si>
    <t>Capex increased to support capacity and digital investments.</t>
  </si>
  <si>
    <t>Free Cash Flow</t>
  </si>
  <si>
    <t>Free cash flow turned negative in Q2 FY25 despite positive accounting profit.</t>
  </si>
  <si>
    <t>Receivables</t>
  </si>
  <si>
    <t>Receivables increased, raising cash-conversion questions.</t>
  </si>
  <si>
    <t>Inventory</t>
  </si>
  <si>
    <t>Inventory increased moderately; management needs to explain normalization.</t>
  </si>
  <si>
    <t>Payables</t>
  </si>
  <si>
    <t>Payables increased but not enough to offset receivables and inventory growth.</t>
  </si>
  <si>
    <t>Working Capital Proxy</t>
  </si>
  <si>
    <t>Working capital proxy reached the highest level in the period.</t>
  </si>
  <si>
    <t>EPS</t>
  </si>
  <si>
    <t>₹</t>
  </si>
  <si>
    <t>EPS remained positive but declined sequentially, mirroring margin pressure.</t>
  </si>
  <si>
    <t>Segment Data | Historical Growth, Mix and Pressure Points</t>
  </si>
  <si>
    <t>Quarter</t>
  </si>
  <si>
    <t>Segment</t>
  </si>
  <si>
    <t>Revenue (₹ Cr)</t>
  </si>
  <si>
    <t>QoQ Growth</t>
  </si>
  <si>
    <t>Previous Growth</t>
  </si>
  <si>
    <t>Growth Change</t>
  </si>
  <si>
    <t>Margin</t>
  </si>
  <si>
    <t>Contribution %</t>
  </si>
  <si>
    <t>Trend</t>
  </si>
  <si>
    <t>Demand Signal</t>
  </si>
  <si>
    <t>Pricing Pressure</t>
  </si>
  <si>
    <t>Investor Concern</t>
  </si>
  <si>
    <t>Management Action</t>
  </si>
  <si>
    <t>Segment KPI</t>
  </si>
  <si>
    <t>Enterprise Solutions</t>
  </si>
  <si>
    <t>Stable</t>
  </si>
  <si>
    <t>Low</t>
  </si>
  <si>
    <t>Monitor segment trend.</t>
  </si>
  <si>
    <t>Expand strategic accounts and cross-sell higher-value offerings.</t>
  </si>
  <si>
    <t>Strategic account win rate</t>
  </si>
  <si>
    <t>Firm</t>
  </si>
  <si>
    <t>Strong / Improving</t>
  </si>
  <si>
    <t>Strong</t>
  </si>
  <si>
    <t>Moderate</t>
  </si>
  <si>
    <t>Growth concentration risk if one segment carries the consolidated topline.</t>
  </si>
  <si>
    <t>Consumer Technology</t>
  </si>
  <si>
    <t>Increase pricing discipline, product refreshes and demand-generation activity.</t>
  </si>
  <si>
    <t>Monthly active customers</t>
  </si>
  <si>
    <t>Softening</t>
  </si>
  <si>
    <t>High</t>
  </si>
  <si>
    <t>Recovering</t>
  </si>
  <si>
    <t>Slowing</t>
  </si>
  <si>
    <t>Moderating</t>
  </si>
  <si>
    <t>Soft</t>
  </si>
  <si>
    <t>Demand slowdown and margin compression could affect the consolidated growth narrative.</t>
  </si>
  <si>
    <t>Digital Services</t>
  </si>
  <si>
    <t>Focus on profitable accounts, retention and selective new-business acquisition.</t>
  </si>
  <si>
    <t>Retention / utilization</t>
  </si>
  <si>
    <t>Weak / Slowing</t>
  </si>
  <si>
    <t>Selective demand</t>
  </si>
  <si>
    <t>Weak</t>
  </si>
  <si>
    <t>Weak growth and lower margin may create sustainability questions.</t>
  </si>
  <si>
    <t>Management Commitments | Guidance vs Outcomes</t>
  </si>
  <si>
    <t>Management Statement</t>
  </si>
  <si>
    <t>Expected Value</t>
  </si>
  <si>
    <t>Actual Q2 FY25</t>
  </si>
  <si>
    <t>Gap</t>
  </si>
  <si>
    <t>Status</t>
  </si>
  <si>
    <t>Investor Implication</t>
  </si>
  <si>
    <t>Disclosure Evidence</t>
  </si>
  <si>
    <t>Leadership Response Required</t>
  </si>
  <si>
    <t>We expect operating margin to remain above 20% over the coming quarters.</t>
  </si>
  <si>
    <t>&gt;20%</t>
  </si>
  <si>
    <t>18%</t>
  </si>
  <si>
    <t>-2 pp</t>
  </si>
  <si>
    <t>Missed</t>
  </si>
  <si>
    <t>Tests forecast credibility.</t>
  </si>
  <si>
    <t>Q4 FY24 earnings call; Q2 FY25 results</t>
  </si>
  <si>
    <t>Acknowledge the miss and explain the drivers before discussing recovery.</t>
  </si>
  <si>
    <t>We expect operating cash-flow conversion to improve as working-capital normalization progresses.</t>
  </si>
  <si>
    <t>Improve sequentially</t>
  </si>
  <si>
    <t>₹110 Cr</t>
  </si>
  <si>
    <t>Down vs ₹150 Cr / ₹180 Cr prior periods</t>
  </si>
  <si>
    <t>Raises earnings-quality and cash-conversion questions.</t>
  </si>
  <si>
    <t>Provide a working-capital bridge and avoid unsupported recovery promises.</t>
  </si>
  <si>
    <t>We expect Consumer Technology growth to remain in the low double digits.</t>
  </si>
  <si>
    <t>Consumer Technology Growth</t>
  </si>
  <si>
    <t>10%–15%</t>
  </si>
  <si>
    <t>7%</t>
  </si>
  <si>
    <t>-3 to -8 pp</t>
  </si>
  <si>
    <t>Creates segment demand concerns.</t>
  </si>
  <si>
    <t>Q4 FY24 earnings call; segment results</t>
  </si>
  <si>
    <t>Explain demand pressure and the segment action plan.</t>
  </si>
  <si>
    <t>We expect overall revenue growth to remain in the mid-teens.</t>
  </si>
  <si>
    <t>Revenue Growth</t>
  </si>
  <si>
    <t>13%–17%</t>
  </si>
  <si>
    <t>15%</t>
  </si>
  <si>
    <t>Within range</t>
  </si>
  <si>
    <t>Met</t>
  </si>
  <si>
    <t>Supports the topline narrative.</t>
  </si>
  <si>
    <t>Q2 FY25 results</t>
  </si>
  <si>
    <t>Use as a strength, but do not let it obscure profitability pressure.</t>
  </si>
  <si>
    <t>We expect capex intensity to remain controlled while supporting capacity expansion.</t>
  </si>
  <si>
    <t>Capex / Revenue</t>
  </si>
  <si>
    <t>&lt;11.5%</t>
  </si>
  <si>
    <t>10.4%</t>
  </si>
  <si>
    <t>Capex remains explainable.</t>
  </si>
  <si>
    <t>Q1 FY25 update; Q2 FY25 results</t>
  </si>
  <si>
    <t>Show that investment remains disciplined.</t>
  </si>
  <si>
    <t>We expect receivable days to stabilize after the seasonal peak.</t>
  </si>
  <si>
    <t>Receivable Days</t>
  </si>
  <si>
    <t>&lt;95 days</t>
  </si>
  <si>
    <t>101 days</t>
  </si>
  <si>
    <t>+6 days</t>
  </si>
  <si>
    <t>Signals working-capital slippage.</t>
  </si>
  <si>
    <t>Explain collections, customer mix and normalization actions.</t>
  </si>
  <si>
    <t>Enterprise Solutions should continue to grow ahead of the consolidated company.</t>
  </si>
  <si>
    <t>Segment Growth</t>
  </si>
  <si>
    <t>Above company growth</t>
  </si>
  <si>
    <t>20% vs 15%</t>
  </si>
  <si>
    <t>Above company</t>
  </si>
  <si>
    <t>Supports concentration but creates dependency risk.</t>
  </si>
  <si>
    <t>Segment results</t>
  </si>
  <si>
    <t>Explain sustainability of enterprise account pipeline.</t>
  </si>
  <si>
    <t>Digital Services should return to a stronger growth trajectory.</t>
  </si>
  <si>
    <t>&gt;8%</t>
  </si>
  <si>
    <t>3%</t>
  </si>
  <si>
    <t>-5 pp</t>
  </si>
  <si>
    <t>Raises structural growth concern in a strategic segment.</t>
  </si>
  <si>
    <t>Clarify portfolio focus, retention and selective growth strategy.</t>
  </si>
  <si>
    <t>Management Commentary | Synthetic Earnings Call Disclosure</t>
  </si>
  <si>
    <t>Date</t>
  </si>
  <si>
    <t>Theme</t>
  </si>
  <si>
    <t>Management Commentary</t>
  </si>
  <si>
    <t>Quantified Evidence</t>
  </si>
  <si>
    <t>Confidence Level</t>
  </si>
  <si>
    <t>Investor Sensitivity</t>
  </si>
  <si>
    <t>2026-04-25</t>
  </si>
  <si>
    <t>Profitability</t>
  </si>
  <si>
    <t>Input costs remained elevated, but pricing partially offset the pressure.</t>
  </si>
  <si>
    <t>Supplier costs +5%; operating margin 22%.</t>
  </si>
  <si>
    <t>Selective price increases and supplier renegotiation.</t>
  </si>
  <si>
    <t>Medium</t>
  </si>
  <si>
    <t>Cash Conversion</t>
  </si>
  <si>
    <t>Working capital was expected to normalize following seasonal inventory build.</t>
  </si>
  <si>
    <t>CFO ₹180 Cr; receivables ₹290 Cr.</t>
  </si>
  <si>
    <t>Collection focus and inventory normalization.</t>
  </si>
  <si>
    <t>2026-07-24</t>
  </si>
  <si>
    <t>Growth</t>
  </si>
  <si>
    <t>Revenue momentum accelerated across Enterprise Solutions and selected Consumer accounts.</t>
  </si>
  <si>
    <t>Revenue +11.1% QoQ.</t>
  </si>
  <si>
    <t>Expand enterprise pipeline and refresh consumer assortment.</t>
  </si>
  <si>
    <t>Management remained confident that margin would stay above 20%.</t>
  </si>
  <si>
    <t>Margin 22%.</t>
  </si>
  <si>
    <t>Continue pricing discipline and cost controls.</t>
  </si>
  <si>
    <t>2026-10-03</t>
  </si>
  <si>
    <t>Input Costs</t>
  </si>
  <si>
    <t>Input and supplier costs increased materially during the quarter.</t>
  </si>
  <si>
    <t>Approximately +8%.</t>
  </si>
  <si>
    <t>Supplier negotiations and pricing actions.</t>
  </si>
  <si>
    <t>Product Mix</t>
  </si>
  <si>
    <t>Revenue growth was weighted toward lower-margin offerings.</t>
  </si>
  <si>
    <t>Lower-margin mix increased; consumer contribution rose.</t>
  </si>
  <si>
    <t>Rebalance product mix and improve attach rates.</t>
  </si>
  <si>
    <t>Consumer Demand</t>
  </si>
  <si>
    <t>Demand softened in selected Consumer Technology categories.</t>
  </si>
  <si>
    <t>Growth slowed to approximately 7%.</t>
  </si>
  <si>
    <t>Pricing, product refresh and demand-generation actions.</t>
  </si>
  <si>
    <t>Working Capital</t>
  </si>
  <si>
    <t>Higher receivables and inventory reduced cash conversion despite positive operating profit.</t>
  </si>
  <si>
    <t>Receivables ₹320 Cr; inventory ₹190 Cr.</t>
  </si>
  <si>
    <t>Collections, inventory discipline and customer terms review.</t>
  </si>
  <si>
    <t>Cash Flow</t>
  </si>
  <si>
    <t>Cash flow was weaker than management expected at the previous call.</t>
  </si>
  <si>
    <t>CFO ₹110 Cr.</t>
  </si>
  <si>
    <t>Working-capital normalization program.</t>
  </si>
  <si>
    <t>Margin Outlook</t>
  </si>
  <si>
    <t>Management expects pressure to moderate as pricing and cost actions take effect.</t>
  </si>
  <si>
    <t>Current margin 18%.</t>
  </si>
  <si>
    <t>Continue price actions and cost-efficiency initiatives.</t>
  </si>
  <si>
    <t>Enterprise Solutions remained the main growth engine.</t>
  </si>
  <si>
    <t>Q2 growth +25% versus Q1; 43% of latest revenue.</t>
  </si>
  <si>
    <t>Strategic account expansion and cross-sell.</t>
  </si>
  <si>
    <t>Digital Services continued to grow slowly and remains exposed to selective demand.</t>
  </si>
  <si>
    <t>Growth +3%; margin 17.5%.</t>
  </si>
  <si>
    <t>Prioritize profitable accounts and retention.</t>
  </si>
  <si>
    <t>Prior Earnings Call | Selected Management Statements</t>
  </si>
  <si>
    <t>Speaker</t>
  </si>
  <si>
    <t>Topic</t>
  </si>
  <si>
    <t>Statement</t>
  </si>
  <si>
    <t>Commitment Link</t>
  </si>
  <si>
    <t>Tone</t>
  </si>
  <si>
    <t>Potential Investor Follow-up</t>
  </si>
  <si>
    <t>Evidence Location</t>
  </si>
  <si>
    <t>Chief Executive Officer</t>
  </si>
  <si>
    <t>Operating margin</t>
  </si>
  <si>
    <t>Confident</t>
  </si>
  <si>
    <t>What changed versus this expectation?</t>
  </si>
  <si>
    <t>Q4 FY24 earnings call</t>
  </si>
  <si>
    <t>Chief Financial Officer</t>
  </si>
  <si>
    <t>We expect cash conversion to improve as working capital normalizes.</t>
  </si>
  <si>
    <t>Operating cash flow</t>
  </si>
  <si>
    <t>Why did operating cash flow weaken in Q2 FY25?</t>
  </si>
  <si>
    <t>Consumer</t>
  </si>
  <si>
    <t>Consumer Technology growth should remain in the low double digits.</t>
  </si>
  <si>
    <t>Consumer segment</t>
  </si>
  <si>
    <t>Why did growth slow to about 7%?</t>
  </si>
  <si>
    <t>Revenue growth</t>
  </si>
  <si>
    <t>Is topline growth still on track?</t>
  </si>
  <si>
    <t>Receivables should stabilize following the seasonal increase.</t>
  </si>
  <si>
    <t>Working capital</t>
  </si>
  <si>
    <t>Why did receivables rise again in Q2 FY25?</t>
  </si>
  <si>
    <t>Q1 FY25 earnings call</t>
  </si>
  <si>
    <t>Enterprise</t>
  </si>
  <si>
    <t>Enterprise Solutions should continue to grow ahead of the group.</t>
  </si>
  <si>
    <t>Segment growth</t>
  </si>
  <si>
    <t>How sustainable is the concentration in Enterprise Solutions?</t>
  </si>
  <si>
    <t>Digital Services is expected to return to a stronger growth trajectory.</t>
  </si>
  <si>
    <t>Cautious</t>
  </si>
  <si>
    <t>Why is growth still around 3%?</t>
  </si>
  <si>
    <t>Capex</t>
  </si>
  <si>
    <t>Capex will remain disciplined while we support strategic capacity expansion.</t>
  </si>
  <si>
    <t>Capex intensity</t>
  </si>
  <si>
    <t>Is the higher capex level generating sufficient returns?</t>
  </si>
  <si>
    <t>Analyst Expectations | Q2 FY25 Illustrative Benchmark</t>
  </si>
  <si>
    <t>Consensus / Street View</t>
  </si>
  <si>
    <t>Company Actual</t>
  </si>
  <si>
    <t>Variance</t>
  </si>
  <si>
    <t>Investor Read-Through</t>
  </si>
  <si>
    <t>Severity</t>
  </si>
  <si>
    <t>Possible Follow-up</t>
  </si>
  <si>
    <t>Source Type</t>
  </si>
  <si>
    <t>Assumption</t>
  </si>
  <si>
    <t>14%–16%</t>
  </si>
  <si>
    <t>Topline met expectations.</t>
  </si>
  <si>
    <t>Why is profitability not following revenue?</t>
  </si>
  <si>
    <t>Synthetic consensus</t>
  </si>
  <si>
    <t>Illustrative</t>
  </si>
  <si>
    <t>20%–21%</t>
  </si>
  <si>
    <t>-2 to -3 pp</t>
  </si>
  <si>
    <t>Potential earnings-quality concern.</t>
  </si>
  <si>
    <t>Critical</t>
  </si>
  <si>
    <t>What caused the margin miss?</t>
  </si>
  <si>
    <t>₹145–₹165 Cr</t>
  </si>
  <si>
    <t>Below range</t>
  </si>
  <si>
    <t>Cash conversion underperformed.</t>
  </si>
  <si>
    <t>What drove the cash outflow?</t>
  </si>
  <si>
    <t>9%–12%</t>
  </si>
  <si>
    <t>Demand concern.</t>
  </si>
  <si>
    <t>What is the recovery plan?</t>
  </si>
  <si>
    <t>Enterprise Solutions Growth</t>
  </si>
  <si>
    <t>16%–19%</t>
  </si>
  <si>
    <t>20%</t>
  </si>
  <si>
    <t>Above range</t>
  </si>
  <si>
    <t>Growth concentration increases.</t>
  </si>
  <si>
    <t>How sustainable is the mix?</t>
  </si>
  <si>
    <t>Digital Services Growth</t>
  </si>
  <si>
    <t>7%–10%</t>
  </si>
  <si>
    <t>Structural growth concern.</t>
  </si>
  <si>
    <t>Is the issue cyclical or structural?</t>
  </si>
  <si>
    <t>10%–12%</t>
  </si>
  <si>
    <t>Investment level remains manageable.</t>
  </si>
  <si>
    <t>What returns are expected from capex?</t>
  </si>
  <si>
    <t>₹11.1–₹11.5</t>
  </si>
  <si>
    <t>₹10.8</t>
  </si>
  <si>
    <t>Slightly below</t>
  </si>
  <si>
    <t>Profitability softness reflected in per-share earnings.</t>
  </si>
  <si>
    <t>Is EPS pressure temporary?</t>
  </si>
  <si>
    <t>Operational KPIs | Underlying Business Drivers</t>
  </si>
  <si>
    <t>Company Value</t>
  </si>
  <si>
    <t>Unit</t>
  </si>
  <si>
    <t>Q2 vs Q1 Change</t>
  </si>
  <si>
    <t>Threshold / Target</t>
  </si>
  <si>
    <t>Investor Relevance</t>
  </si>
  <si>
    <t>Owner</t>
  </si>
  <si>
    <t>days</t>
  </si>
  <si>
    <t>&lt;95</t>
  </si>
  <si>
    <t>On target</t>
  </si>
  <si>
    <t>Cash conversion</t>
  </si>
  <si>
    <t>Collections discipline</t>
  </si>
  <si>
    <t>Watch</t>
  </si>
  <si>
    <t>Tighter collection cadence</t>
  </si>
  <si>
    <t>+6</t>
  </si>
  <si>
    <t>Off target</t>
  </si>
  <si>
    <t>Customer terms and collections review</t>
  </si>
  <si>
    <t>Inventory Days</t>
  </si>
  <si>
    <t>+4</t>
  </si>
  <si>
    <t>&lt;72</t>
  </si>
  <si>
    <t>SKU-level inventory reduction</t>
  </si>
  <si>
    <t>Chief Operating Officer</t>
  </si>
  <si>
    <t>Enterprise Win Rate</t>
  </si>
  <si>
    <t>+5 pp</t>
  </si>
  <si>
    <t>&gt;28%</t>
  </si>
  <si>
    <t>Supports growth engine</t>
  </si>
  <si>
    <t>Account expansion</t>
  </si>
  <si>
    <t>Chief Sales Officer</t>
  </si>
  <si>
    <t>Consumer Monthly Active Customer Growth</t>
  </si>
  <si>
    <t>-6 pp</t>
  </si>
  <si>
    <t>Demand pressure</t>
  </si>
  <si>
    <t>Demand-generation program</t>
  </si>
  <si>
    <t>Chief Marketing Officer</t>
  </si>
  <si>
    <t>Digital Services Utilization</t>
  </si>
  <si>
    <t>-4 pp</t>
  </si>
  <si>
    <t>&gt;72%</t>
  </si>
  <si>
    <t>Margin and growth pressure</t>
  </si>
  <si>
    <t>Delivery mix optimization</t>
  </si>
  <si>
    <t>Pricing Realization</t>
  </si>
  <si>
    <t>+0.6 pp</t>
  </si>
  <si>
    <t>&gt;2%</t>
  </si>
  <si>
    <t>Supports margin recovery</t>
  </si>
  <si>
    <t>Selective pricing actions</t>
  </si>
  <si>
    <t>Chief Revenue Officer</t>
  </si>
  <si>
    <t>Employee Utilization</t>
  </si>
  <si>
    <t>&gt;78%</t>
  </si>
  <si>
    <t>Operating leverage</t>
  </si>
  <si>
    <t>Capacity rebalancing</t>
  </si>
  <si>
    <t>Cash Flow Bridge | Q2 FY25</t>
  </si>
  <si>
    <t>Bridge Item</t>
  </si>
  <si>
    <t>Q2 FY25 Impact (₹ Cr)</t>
  </si>
  <si>
    <t>Direction</t>
  </si>
  <si>
    <t>Evidence</t>
  </si>
  <si>
    <t>Investor Interpretation</t>
  </si>
  <si>
    <t>Priority</t>
  </si>
  <si>
    <t>Source</t>
  </si>
  <si>
    <t>Q2 FY25 operating profit</t>
  </si>
  <si>
    <t>Profit remains positive.</t>
  </si>
  <si>
    <t>N/A</t>
  </si>
  <si>
    <t>Base</t>
  </si>
  <si>
    <t>Quarterly Financials</t>
  </si>
  <si>
    <t>Receivables Increase</t>
  </si>
  <si>
    <t>Uses cash</t>
  </si>
  <si>
    <t>Receivables ₹300 Cr → ₹320 Cr</t>
  </si>
  <si>
    <t>Cash tied up in customer balances.</t>
  </si>
  <si>
    <t>Accelerate collections</t>
  </si>
  <si>
    <t>Inventory Increase</t>
  </si>
  <si>
    <t>Inventory ₹180 Cr → ₹190 Cr</t>
  </si>
  <si>
    <t>Cash tied up in stock.</t>
  </si>
  <si>
    <t>Reduce slow-moving inventory</t>
  </si>
  <si>
    <t>Payables Increase</t>
  </si>
  <si>
    <t>Provides cash</t>
  </si>
  <si>
    <t>Payables ₹150 Cr → ₹160 Cr</t>
  </si>
  <si>
    <t>Partially offsets working-capital use.</t>
  </si>
  <si>
    <t>Maintain supplier discipline</t>
  </si>
  <si>
    <t>Other Operating Items</t>
  </si>
  <si>
    <t>Tax, other operating movements and normalization</t>
  </si>
  <si>
    <t>Residual bridge requires management explanation.</t>
  </si>
  <si>
    <t>Prepare detailed bridge for call</t>
  </si>
  <si>
    <t>Synthetic assumption</t>
  </si>
  <si>
    <t>Result</t>
  </si>
  <si>
    <t>₹220 Cr prior operating profit base to ₹110 Cr cash flow</t>
  </si>
  <si>
    <t>Investor will test earnings-to-cash conversion.</t>
  </si>
  <si>
    <t>Explain cash conversion</t>
  </si>
  <si>
    <t>Investor Risk Map | Evidence-Based Prioritization</t>
  </si>
  <si>
    <t>Issue</t>
  </si>
  <si>
    <t>What Changed</t>
  </si>
  <si>
    <t>Why It Matters</t>
  </si>
  <si>
    <t>Financial Impact (1–5)</t>
  </si>
  <si>
    <t>Negative Trend (1–5)</t>
  </si>
  <si>
    <t>Guidance Gap (1–5)</t>
  </si>
  <si>
    <t>Strategic Importance (1–5)</t>
  </si>
  <si>
    <t>Total Score</t>
  </si>
  <si>
    <t>Risk Level</t>
  </si>
  <si>
    <t>Evidence Source</t>
  </si>
  <si>
    <t>Operating margin decline</t>
  </si>
  <si>
    <t>22% → 18%</t>
  </si>
  <si>
    <t>Revenue growth is not translating into profitability.</t>
  </si>
  <si>
    <t>Quarterly Financials; Prior Earnings Call</t>
  </si>
  <si>
    <t>Operating cash flow deterioration</t>
  </si>
  <si>
    <t>₹150 Cr → ₹110 Cr QoQ</t>
  </si>
  <si>
    <t>Cash conversion weakened despite revenue growth.</t>
  </si>
  <si>
    <t>Quarterly Financials; Cash Flow Bridge</t>
  </si>
  <si>
    <t>Margin guidance miss</t>
  </si>
  <si>
    <t>Expected &gt;20%; actual 18%</t>
  </si>
  <si>
    <t>Tests management credibility.</t>
  </si>
  <si>
    <t>Management Commitments</t>
  </si>
  <si>
    <t>Consumer Technology slowdown</t>
  </si>
  <si>
    <t>15% previous growth → 7% current</t>
  </si>
  <si>
    <t>Demand weakness can reduce portfolio growth quality.</t>
  </si>
  <si>
    <t>Segment Data; Management Commentary</t>
  </si>
  <si>
    <t>Digital Services slowdown</t>
  </si>
  <si>
    <t>8% → 3% growth</t>
  </si>
  <si>
    <t>Potential structural growth concern.</t>
  </si>
  <si>
    <t>Segment Data</t>
  </si>
  <si>
    <t>Working-capital pressure</t>
  </si>
  <si>
    <t>Receivables 320; inventory 190</t>
  </si>
  <si>
    <t>Can absorb cash and weaken earnings quality.</t>
  </si>
  <si>
    <t>Operational KPIs; Cash Flow Bridge</t>
  </si>
  <si>
    <t>Growth concentration</t>
  </si>
  <si>
    <t>Enterprise Solutions +20%</t>
  </si>
  <si>
    <t>More reliance on one growth engine may raise concentration questions.</t>
  </si>
  <si>
    <t>Capex efficiency</t>
  </si>
  <si>
    <t>Capex ₹120 Cr</t>
  </si>
  <si>
    <t>Higher investment needs a returns narrative.</t>
  </si>
  <si>
    <t>Quarterly Financials; Analyst Expectations</t>
  </si>
  <si>
    <t>Probable Investor Questions | Prioritized for Rehearsal</t>
  </si>
  <si>
    <t>Category</t>
  </si>
  <si>
    <t>Investor Question</t>
  </si>
  <si>
    <t>Why Investor Asks</t>
  </si>
  <si>
    <t>Evidence Trigger</t>
  </si>
  <si>
    <t>Previous Commitment</t>
  </si>
  <si>
    <t>Recommended Evidence</t>
  </si>
  <si>
    <t>Likely Follow-up</t>
  </si>
  <si>
    <t>Leadership Prep</t>
  </si>
  <si>
    <t>Revenue grew by 15%, so why did operating margin fall from 22% to 18%?</t>
  </si>
  <si>
    <t>Growth is strong while profitability moved in the opposite direction.</t>
  </si>
  <si>
    <t>Margin -4 pp; input costs +8%; mix pressure</t>
  </si>
  <si>
    <t>&gt;20% margin</t>
  </si>
  <si>
    <t>Input cost, product mix and pricing bridge</t>
  </si>
  <si>
    <t>How much of the pressure is temporary?</t>
  </si>
  <si>
    <t>Prepare quantified margin bridge.</t>
  </si>
  <si>
    <t>Why did operating cash flow weaken despite strong revenue growth?</t>
  </si>
  <si>
    <t>Lower cash generation may raise earnings-quality concerns.</t>
  </si>
  <si>
    <t>CFO ₹110 Cr; receivables +20; inventory +10</t>
  </si>
  <si>
    <t>Improve cash conversion</t>
  </si>
  <si>
    <t>Cash flow bridge; working capital</t>
  </si>
  <si>
    <t>When should cash conversion improve?</t>
  </si>
  <si>
    <t>Prepare receivables and inventory bridge.</t>
  </si>
  <si>
    <t>Guidance</t>
  </si>
  <si>
    <t>Last quarter management expected margin above 20%. What caused the miss?</t>
  </si>
  <si>
    <t>Direct comparison to prior commitment tests credibility.</t>
  </si>
  <si>
    <t>18% actual vs &gt;20% guidance</t>
  </si>
  <si>
    <t>Prior call statement; current margin</t>
  </si>
  <si>
    <t>What changed in the assumptions?</t>
  </si>
  <si>
    <t>Acknowledge miss and explain drivers.</t>
  </si>
  <si>
    <t>Why has Consumer Technology growth slowed and what supports a recovery?</t>
  </si>
  <si>
    <t>Consolidated growth hides weaker segment momentum.</t>
  </si>
  <si>
    <t>7% growth vs prior 15%; demand softening</t>
  </si>
  <si>
    <t>10%–15% growth</t>
  </si>
  <si>
    <t>Segment results; demand indicators</t>
  </si>
  <si>
    <t>What specific actions are under way?</t>
  </si>
  <si>
    <t>Prepare segment-specific action plan.</t>
  </si>
  <si>
    <t>Sustainability</t>
  </si>
  <si>
    <t>Is the current margin pressure temporary or structurally lower profitability?</t>
  </si>
  <si>
    <t>Investors need to know whether earnings power has changed.</t>
  </si>
  <si>
    <t>18% margin; cost/mix pressure</t>
  </si>
  <si>
    <t>Margin &gt;20%</t>
  </si>
  <si>
    <t>Trend, cost drivers, management actions</t>
  </si>
  <si>
    <t>What should we watch next quarter?</t>
  </si>
  <si>
    <t>Separate temporary vs structural drivers.</t>
  </si>
  <si>
    <t>Growth mix</t>
  </si>
  <si>
    <t>Is Enterprise Solutions growth sustainable, or is the company becoming too dependent on it?</t>
  </si>
  <si>
    <t>One segment contributes a disproportionate share of growth.</t>
  </si>
  <si>
    <t>Enterprise +20%; 43% contribution</t>
  </si>
  <si>
    <t>Enterprise ahead of group</t>
  </si>
  <si>
    <t>Pipeline and customer concentration</t>
  </si>
  <si>
    <t>What is the pipeline quality?</t>
  </si>
  <si>
    <t>Prepare pipeline and concentration view.</t>
  </si>
  <si>
    <t>Why is Digital Services still growing only around 3%?</t>
  </si>
  <si>
    <t>Persistent underperformance may imply structural issues.</t>
  </si>
  <si>
    <t>3% growth; 17.5% margin</t>
  </si>
  <si>
    <t>Return to stronger growth</t>
  </si>
  <si>
    <t>Retention, utilization and pipeline</t>
  </si>
  <si>
    <t>Prepare segment turnaround narrative.</t>
  </si>
  <si>
    <t>Pricing</t>
  </si>
  <si>
    <t>Are pricing actions sufficient to offset higher supplier and input costs?</t>
  </si>
  <si>
    <t>Investors want to understand pricing power.</t>
  </si>
  <si>
    <t>Pricing realization +2.1%; input costs +8%</t>
  </si>
  <si>
    <t>Selective pricing</t>
  </si>
  <si>
    <t>Price/cost bridge</t>
  </si>
  <si>
    <t>How much can customers absorb?</t>
  </si>
  <si>
    <t>Quantify price realization vs cost inflation.</t>
  </si>
  <si>
    <t>When will receivables and inventory normalize?</t>
  </si>
  <si>
    <t>Working capital is absorbing cash.</t>
  </si>
  <si>
    <t>Receivables 101 days; inventory 74 days</t>
  </si>
  <si>
    <t>Receivables stabilize</t>
  </si>
  <si>
    <t>Operational KPI trend</t>
  </si>
  <si>
    <t>What is the collection plan?</t>
  </si>
  <si>
    <t>Prepare normalization milestones.</t>
  </si>
  <si>
    <t>Capital Allocation</t>
  </si>
  <si>
    <t>What returns justify the higher capex level?</t>
  </si>
  <si>
    <t>Capex rose while free cash flow turned negative.</t>
  </si>
  <si>
    <t>Capex ₹120 Cr; FCF -₹10 Cr</t>
  </si>
  <si>
    <t>Capex disciplined</t>
  </si>
  <si>
    <t>Capex by project and expected return</t>
  </si>
  <si>
    <t>Should capex slow next quarter?</t>
  </si>
  <si>
    <t>Prepare capex rationale and return metrics.</t>
  </si>
  <si>
    <t>Management Response Review | Stress-Tested Answers</t>
  </si>
  <si>
    <t>Direct Answer</t>
  </si>
  <si>
    <t>Explanation</t>
  </si>
  <si>
    <t>Forward-Looking Context</t>
  </si>
  <si>
    <t>Commitment Gap?</t>
  </si>
  <si>
    <t>Evidence Support</t>
  </si>
  <si>
    <t>Directness</t>
  </si>
  <si>
    <t>Concern Coverage</t>
  </si>
  <si>
    <t>Consistency</t>
  </si>
  <si>
    <t>Overall Score</t>
  </si>
  <si>
    <t>Margin declined primarily because higher input and supplier costs and an unfavourable product mix outweighed part of the revenue benefit, partly offset by pricing actions.</t>
  </si>
  <si>
    <t>Revenue +15%; margin 22%→18%; input costs +8%; mix pressure.</t>
  </si>
  <si>
    <t>Growth shifted toward lower-margin offerings while cost pressure increased.</t>
  </si>
  <si>
    <t>Pricing actions, supplier negotiations and cost-efficiency initiatives.</t>
  </si>
  <si>
    <t>Pressure should moderate as disclosed actions take effect; no unsupported timing should be promised.</t>
  </si>
  <si>
    <t>Yes</t>
  </si>
  <si>
    <t>Cash flow weakened primarily because receivables and inventory absorbed cash.</t>
  </si>
  <si>
    <t>CFO ₹110 Cr; receivables 320; inventory 190.</t>
  </si>
  <si>
    <t>Accounting growth did not convert into cash at the same pace.</t>
  </si>
  <si>
    <t>Collections, inventory discipline and working-capital normalization.</t>
  </si>
  <si>
    <t>Improvement depends on normalization; avoid an unsupported recovery timeline.</t>
  </si>
  <si>
    <t>No</t>
  </si>
  <si>
    <t>The margin miss reflects higher input costs, product-mix pressure and pricing pressure during the quarter.</t>
  </si>
  <si>
    <t>Previous &gt;20% commitment; actual 18%; input costs +8%.</t>
  </si>
  <si>
    <t>The current result is below the earlier commitment and should be acknowledged directly.</t>
  </si>
  <si>
    <t>Continue pricing, supplier and cost-efficiency measures.</t>
  </si>
  <si>
    <t>Discuss recovery only to the extent supported by current disclosures.</t>
  </si>
  <si>
    <t>Consumer Technology growth slowed as demand softened in selected categories.</t>
  </si>
  <si>
    <t>Growth about 7%; demand softening; pricing pressure.</t>
  </si>
  <si>
    <t>The segment is still growing but at a meaningfully slower pace.</t>
  </si>
  <si>
    <t>No quantified recovery target has been disclosed.</t>
  </si>
  <si>
    <t>Current disclosures identify specific cost and mix pressures, but they do not establish that the pressure is fully temporary or permanently structural.</t>
  </si>
  <si>
    <t>Margin 18%; input costs +8%; mix pressure; corrective actions.</t>
  </si>
  <si>
    <t>Leadership should separate controllable near-term factors from structural uncertainty.</t>
  </si>
  <si>
    <t>Explain metrics that will be monitored.</t>
  </si>
  <si>
    <t>Avoid unsupported long-term margin forecasts.</t>
  </si>
  <si>
    <t>Leadership Preparation | Actions Before the Earnings Call</t>
  </si>
  <si>
    <t>Concern</t>
  </si>
  <si>
    <t>Required Preparation</t>
  </si>
  <si>
    <t>Evidence Needed</t>
  </si>
  <si>
    <t>Due Before Call</t>
  </si>
  <si>
    <t>Readiness Gate</t>
  </si>
  <si>
    <t>Risk if Unresolved</t>
  </si>
  <si>
    <t>Recommended Talking Point</t>
  </si>
  <si>
    <t>Margin recovery story</t>
  </si>
  <si>
    <t>Prepare a quantified bridge from revenue growth to 18% margin.</t>
  </si>
  <si>
    <t>Input cost bridge; product mix; pricing realization.</t>
  </si>
  <si>
    <t>Before rehearsal</t>
  </si>
  <si>
    <t>Must be complete</t>
  </si>
  <si>
    <t>High investor pressure and credibility risk</t>
  </si>
  <si>
    <t>Acknowledge the miss, explain the drivers and state disclosed actions.</t>
  </si>
  <si>
    <t>Prepare a working-capital bridge.</t>
  </si>
  <si>
    <t>Receivables, inventory, payables and collections metrics.</t>
  </si>
  <si>
    <t>Earnings-quality concern</t>
  </si>
  <si>
    <t>Explain why cash lagged reported growth.</t>
  </si>
  <si>
    <t>Guidance credibility</t>
  </si>
  <si>
    <t>Explicitly acknowledge the &gt;20% prior margin expectation.</t>
  </si>
  <si>
    <t>Prior earnings-call statement and current result.</t>
  </si>
  <si>
    <t>Before call</t>
  </si>
  <si>
    <t>Management credibility risk</t>
  </si>
  <si>
    <t>Start with the deviation, then explain what changed.</t>
  </si>
  <si>
    <t>Prepare a segment-specific slowdown narrative.</t>
  </si>
  <si>
    <t>Demand indicators, pricing and product actions.</t>
  </si>
  <si>
    <t>Business Head</t>
  </si>
  <si>
    <t>Must be ready</t>
  </si>
  <si>
    <t>Growth quality concern</t>
  </si>
  <si>
    <t>Explain current softness and what evidence would signal recovery.</t>
  </si>
  <si>
    <t>Explain persistent low growth.</t>
  </si>
  <si>
    <t>Retention, utilization and pipeline.</t>
  </si>
  <si>
    <t>Should be ready</t>
  </si>
  <si>
    <t>Structural growth question</t>
  </si>
  <si>
    <t>Separate portfolio focus from broad weakness.</t>
  </si>
  <si>
    <t>Capex rationale</t>
  </si>
  <si>
    <t>Explain why investment remains disciplined despite negative FCF.</t>
  </si>
  <si>
    <t>Project-level capex and expected returns.</t>
  </si>
  <si>
    <t>Capital allocation question</t>
  </si>
  <si>
    <t>Explain which investments protect or expand future growth.</t>
  </si>
  <si>
    <t>Disclosure Evidence Map | Traceability Layer</t>
  </si>
  <si>
    <t>Evidence ID</t>
  </si>
  <si>
    <t>Evidence Type</t>
  </si>
  <si>
    <t>Source Area</t>
  </si>
  <si>
    <t>Key Fact</t>
  </si>
  <si>
    <t>Supports Question</t>
  </si>
  <si>
    <t>Use in Response</t>
  </si>
  <si>
    <t>E01</t>
  </si>
  <si>
    <t>Financial result</t>
  </si>
  <si>
    <t>Revenue ₹1,150 Cr; +15% QoQ</t>
  </si>
  <si>
    <t>Q1 Profitability</t>
  </si>
  <si>
    <t>Establishes strong topline growth.</t>
  </si>
  <si>
    <t>E02</t>
  </si>
  <si>
    <t>Operating margin 18%, down 4 pp QoQ</t>
  </si>
  <si>
    <t>Q1/Q3 Profitability &amp; Guidance</t>
  </si>
  <si>
    <t>Primary profitability evidence.</t>
  </si>
  <si>
    <t>E03</t>
  </si>
  <si>
    <t>Cost disclosure</t>
  </si>
  <si>
    <t>Input and supplier costs +8%</t>
  </si>
  <si>
    <t>Explains part of margin pressure.</t>
  </si>
  <si>
    <t>E04</t>
  </si>
  <si>
    <t>Mix disclosure</t>
  </si>
  <si>
    <t>Lower-margin offerings drove mix</t>
  </si>
  <si>
    <t>Explains revenue quality.</t>
  </si>
  <si>
    <t>E05</t>
  </si>
  <si>
    <t>Cash flow</t>
  </si>
  <si>
    <t>Operating cash flow ₹110 Cr</t>
  </si>
  <si>
    <t>Q2 Cash Flow</t>
  </si>
  <si>
    <t>Establishes cash-generation weakness.</t>
  </si>
  <si>
    <t>E06</t>
  </si>
  <si>
    <t>Operational KPIs</t>
  </si>
  <si>
    <t>Explains cash absorption.</t>
  </si>
  <si>
    <t>E07</t>
  </si>
  <si>
    <t>Prior commitment</t>
  </si>
  <si>
    <t>Prior Earnings Call</t>
  </si>
  <si>
    <t>Margin expected above 20%</t>
  </si>
  <si>
    <t>Q3 Guidance</t>
  </si>
  <si>
    <t>Creates credibility comparison.</t>
  </si>
  <si>
    <t>E08</t>
  </si>
  <si>
    <t>Segment result</t>
  </si>
  <si>
    <t>Consumer Technology growth about 7%</t>
  </si>
  <si>
    <t>Q4 Segment</t>
  </si>
  <si>
    <t>Supports demand slowdown question.</t>
  </si>
  <si>
    <t>E09</t>
  </si>
  <si>
    <t>Enterprise Solutions growth about 20%</t>
  </si>
  <si>
    <t>Q6 Growth Mix</t>
  </si>
  <si>
    <t>Supports concentration question.</t>
  </si>
  <si>
    <t>E10</t>
  </si>
  <si>
    <t>Capital allocation</t>
  </si>
  <si>
    <t>Q10 Capital Allocation</t>
  </si>
  <si>
    <t>Supports capex / returns question.</t>
  </si>
  <si>
    <t>Investor Readiness Engine | Executive Dashboard</t>
  </si>
  <si>
    <t>₹1,150 Cr</t>
  </si>
  <si>
    <t>+15% QoQ</t>
  </si>
  <si>
    <t>Critical Risks</t>
  </si>
  <si>
    <t>Readiness Score</t>
  </si>
  <si>
    <t>/100</t>
  </si>
  <si>
    <t>Top Risk</t>
  </si>
  <si>
    <t>Operating Margin Decline</t>
  </si>
  <si>
    <t>Guidance Gap</t>
  </si>
  <si>
    <t>&gt;20% expected vs 18% actual</t>
  </si>
  <si>
    <t>Featured Response</t>
  </si>
  <si>
    <t>/5</t>
  </si>
  <si>
    <t>Most Exposed Segment</t>
  </si>
  <si>
    <t>Cash Flow Signal</t>
  </si>
  <si>
    <t>Working capital absorbing cash</t>
  </si>
  <si>
    <t>Decision</t>
  </si>
  <si>
    <t>NOT READY</t>
  </si>
  <si>
    <t>ACTION REQUIRED</t>
  </si>
  <si>
    <t>Next Action</t>
  </si>
  <si>
    <t>Margin bridge + cash-flow rehearsal</t>
  </si>
  <si>
    <t>Probable Investor Questions</t>
  </si>
  <si>
    <t>1</t>
  </si>
  <si>
    <t>Why did margin fall despite 15% revenue growth?</t>
  </si>
  <si>
    <t>Profitability contradiction</t>
  </si>
  <si>
    <t>2</t>
  </si>
  <si>
    <t>Why did cash flow weaken?</t>
  </si>
  <si>
    <t>Earnings-to-cash conversion</t>
  </si>
  <si>
    <t>3</t>
  </si>
  <si>
    <t>What caused the margin guidance miss?</t>
  </si>
  <si>
    <t>Credibility vs prior commitment</t>
  </si>
  <si>
    <t>4</t>
  </si>
  <si>
    <t>Why has Consumer Technology slowed?</t>
  </si>
  <si>
    <t>Segment demand pressure</t>
  </si>
  <si>
    <t>5</t>
  </si>
  <si>
    <t>Is margin pressure temporary or structural?</t>
  </si>
  <si>
    <t>Sustainability of earnings power</t>
  </si>
  <si>
    <t xml:space="preserve">Investor Readiness Engine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</si>
</sst>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9">
    <font>
      <sz val="11"/>
      <name val="Carlito"/>
    </font>
    <font>
      <b/>
      <sz val="16"/>
      <color rgb="FFFFFFFF"/>
      <name val="Carlito"/>
    </font>
    <font>
      <b/>
      <sz val="11"/>
      <color rgb="FF0B1C33"/>
      <name val="Carlito"/>
    </font>
    <font>
      <sz val="11"/>
      <color rgb="FF334155"/>
      <name val="Carlito"/>
    </font>
    <font>
      <b/>
      <sz val="11"/>
      <color rgb="FFFFFFFF"/>
      <name val="Carlito"/>
    </font>
    <font>
      <sz val="9"/>
      <color rgb="FF334155"/>
      <name val="Carlito"/>
    </font>
    <font>
      <sz val="10"/>
      <color rgb="FF334155"/>
      <name val="Carlito"/>
    </font>
    <font>
      <b/>
      <sz val="10"/>
      <color rgb="FF0B1C33"/>
      <name val="Carlito"/>
    </font>
    <font>
      <b/>
      <sz val="10"/>
      <color rgb="FFB4231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B1C33"/>
      </patternFill>
    </fill>
    <fill>
      <patternFill patternType="solid">
        <fgColor rgb="FFF8FAFC"/>
      </patternFill>
    </fill>
    <fill>
      <patternFill patternType="solid">
        <fgColor rgb="FF1F5EFF"/>
      </patternFill>
    </fill>
    <fill>
      <patternFill patternType="solid">
        <fgColor rgb="FFFFFFFF"/>
      </patternFill>
    </fill>
    <fill>
      <patternFill patternType="solid">
        <fgColor rgb="FFFFF1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1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</cellXfs>
  <cellStyles count="1">
    <cellStyle name="Normal" xfId="0" builtinId="0"/>
  </cellStyles>
  <dxfs count="9">
    <dxf>
      <font>
        <b/>
        <color rgb="FFB42318"/>
      </font>
      <fill>
        <patternFill patternType="solid">
          <bgColor rgb="FFFFF1F0"/>
        </patternFill>
      </fill>
    </dxf>
    <dxf>
      <font>
        <b/>
        <color rgb="FFB65C00"/>
      </font>
      <fill>
        <patternFill patternType="solid">
          <bgColor rgb="FFFFF8E7"/>
        </patternFill>
      </fill>
    </dxf>
    <dxf>
      <font>
        <b/>
        <color rgb="FFB42318"/>
      </font>
      <fill>
        <patternFill patternType="solid">
          <bgColor rgb="FFFFF1F0"/>
        </patternFill>
      </fill>
    </dxf>
    <dxf>
      <font>
        <b/>
        <color rgb="FFB65C00"/>
      </font>
      <fill>
        <patternFill patternType="solid">
          <bgColor rgb="FFFFF8E7"/>
        </patternFill>
      </fill>
    </dxf>
    <dxf>
      <font>
        <b/>
        <color rgb="FFB42318"/>
      </font>
      <fill>
        <patternFill patternType="solid">
          <bgColor rgb="FFFFF1F0"/>
        </patternFill>
      </fill>
    </dxf>
    <dxf>
      <font>
        <b/>
        <color rgb="FF157F3D"/>
      </font>
      <fill>
        <patternFill patternType="solid">
          <bgColor rgb="FFECFDF3"/>
        </patternFill>
      </fill>
    </dxf>
    <dxf>
      <font>
        <b/>
        <color rgb="FFB42318"/>
      </font>
      <fill>
        <patternFill patternType="solid">
          <bgColor rgb="FFFFF1F0"/>
        </patternFill>
      </fill>
    </dxf>
    <dxf>
      <font>
        <b/>
        <color rgb="FF157F3D"/>
      </font>
      <fill>
        <patternFill patternType="solid">
          <bgColor rgb="FFECFDF3"/>
        </patternFill>
      </fill>
    </dxf>
    <dxf>
      <font>
        <b/>
        <color rgb="FFB42318"/>
      </font>
      <fill>
        <patternFill patternType="solid">
          <bgColor rgb="FFFFF1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Revenue and Operating Profit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Q4 FY23</c:v>
          </c:tx>
          <c:marker>
            <c:symbol val="none"/>
          </c:marker>
          <c:cat>
            <c:numRef>
              <c:f>'Quarterly Financials'!$C$3:$C$4</c:f>
              <c:numCache>
                <c:formatCode>#,##0.0</c:formatCode>
                <c:ptCount val="2"/>
                <c:pt idx="0">
                  <c:v>650</c:v>
                </c:pt>
                <c:pt idx="1">
                  <c:v>117</c:v>
                </c:pt>
              </c:numCache>
            </c:numRef>
          </c:cat>
          <c:val>
            <c:numRef>
              <c:f>'Quarterly Financials'!$D$3:$D$4</c:f>
              <c:numCache>
                <c:formatCode>#,##0.0</c:formatCode>
                <c:ptCount val="2"/>
                <c:pt idx="0">
                  <c:v>720</c:v>
                </c:pt>
                <c:pt idx="1">
                  <c:v>135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44-467D-A6CC-52CCCEED1253}"/>
            </c:ext>
          </c:extLst>
        </c:ser>
        <c:ser>
          <c:idx val="1"/>
          <c:order val="1"/>
          <c:tx>
            <c:v>Q1 FY24</c:v>
          </c:tx>
          <c:marker>
            <c:symbol val="none"/>
          </c:marker>
          <c:cat>
            <c:numRef>
              <c:f>'Quarterly Financials'!$C$3:$C$4</c:f>
              <c:numCache>
                <c:formatCode>#,##0.0</c:formatCode>
                <c:ptCount val="2"/>
                <c:pt idx="0">
                  <c:v>650</c:v>
                </c:pt>
                <c:pt idx="1">
                  <c:v>117</c:v>
                </c:pt>
              </c:numCache>
            </c:numRef>
          </c:cat>
          <c:val>
            <c:numRef>
              <c:f>'Quarterly Financials'!$E$3:$E$4</c:f>
              <c:numCache>
                <c:formatCode>#,##0.0</c:formatCode>
                <c:ptCount val="2"/>
                <c:pt idx="0">
                  <c:v>760</c:v>
                </c:pt>
                <c:pt idx="1">
                  <c:v>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744-467D-A6CC-52CCCEED1253}"/>
            </c:ext>
          </c:extLst>
        </c:ser>
        <c:ser>
          <c:idx val="2"/>
          <c:order val="2"/>
          <c:tx>
            <c:v>Q2 FY24</c:v>
          </c:tx>
          <c:marker>
            <c:symbol val="none"/>
          </c:marker>
          <c:cat>
            <c:numRef>
              <c:f>'Quarterly Financials'!$C$3:$C$4</c:f>
              <c:numCache>
                <c:formatCode>#,##0.0</c:formatCode>
                <c:ptCount val="2"/>
                <c:pt idx="0">
                  <c:v>650</c:v>
                </c:pt>
                <c:pt idx="1">
                  <c:v>117</c:v>
                </c:pt>
              </c:numCache>
            </c:numRef>
          </c:cat>
          <c:val>
            <c:numRef>
              <c:f>'Quarterly Financials'!$F$3:$F$4</c:f>
              <c:numCache>
                <c:formatCode>#,##0.0</c:formatCode>
                <c:ptCount val="2"/>
                <c:pt idx="0">
                  <c:v>810</c:v>
                </c:pt>
                <c:pt idx="1">
                  <c:v>170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744-467D-A6CC-52CCCEED1253}"/>
            </c:ext>
          </c:extLst>
        </c:ser>
        <c:ser>
          <c:idx val="3"/>
          <c:order val="3"/>
          <c:tx>
            <c:v>Q3 FY24</c:v>
          </c:tx>
          <c:marker>
            <c:symbol val="none"/>
          </c:marker>
          <c:cat>
            <c:numRef>
              <c:f>'Quarterly Financials'!$C$3:$C$4</c:f>
              <c:numCache>
                <c:formatCode>#,##0.0</c:formatCode>
                <c:ptCount val="2"/>
                <c:pt idx="0">
                  <c:v>650</c:v>
                </c:pt>
                <c:pt idx="1">
                  <c:v>117</c:v>
                </c:pt>
              </c:numCache>
            </c:numRef>
          </c:cat>
          <c:val>
            <c:numRef>
              <c:f>'Quarterly Financials'!$G$3:$G$4</c:f>
              <c:numCache>
                <c:formatCode>#,##0.0</c:formatCode>
                <c:ptCount val="2"/>
                <c:pt idx="0">
                  <c:v>820</c:v>
                </c:pt>
                <c:pt idx="1">
                  <c:v>164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744-467D-A6CC-52CCCEED1253}"/>
            </c:ext>
          </c:extLst>
        </c:ser>
        <c:ser>
          <c:idx val="4"/>
          <c:order val="4"/>
          <c:tx>
            <c:v>Q4 FY24</c:v>
          </c:tx>
          <c:marker>
            <c:symbol val="none"/>
          </c:marker>
          <c:cat>
            <c:numRef>
              <c:f>'Quarterly Financials'!$C$3:$C$4</c:f>
              <c:numCache>
                <c:formatCode>#,##0.0</c:formatCode>
                <c:ptCount val="2"/>
                <c:pt idx="0">
                  <c:v>650</c:v>
                </c:pt>
                <c:pt idx="1">
                  <c:v>117</c:v>
                </c:pt>
              </c:numCache>
            </c:numRef>
          </c:cat>
          <c:val>
            <c:numRef>
              <c:f>'Quarterly Financials'!$H$3:$H$4</c:f>
              <c:numCache>
                <c:formatCode>#,##0.0</c:formatCode>
                <c:ptCount val="2"/>
                <c:pt idx="0">
                  <c:v>900</c:v>
                </c:pt>
                <c:pt idx="1">
                  <c:v>198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744-467D-A6CC-52CCCEED1253}"/>
            </c:ext>
          </c:extLst>
        </c:ser>
        <c:ser>
          <c:idx val="5"/>
          <c:order val="5"/>
          <c:tx>
            <c:v>Q1 FY25</c:v>
          </c:tx>
          <c:marker>
            <c:symbol val="none"/>
          </c:marker>
          <c:cat>
            <c:numRef>
              <c:f>'Quarterly Financials'!$C$3:$C$4</c:f>
              <c:numCache>
                <c:formatCode>#,##0.0</c:formatCode>
                <c:ptCount val="2"/>
                <c:pt idx="0">
                  <c:v>650</c:v>
                </c:pt>
                <c:pt idx="1">
                  <c:v>117</c:v>
                </c:pt>
              </c:numCache>
            </c:numRef>
          </c:cat>
          <c:val>
            <c:numRef>
              <c:f>'Quarterly Financials'!$I$3:$I$4</c:f>
              <c:numCache>
                <c:formatCode>#,##0.0</c:formatCode>
                <c:ptCount val="2"/>
                <c:pt idx="0">
                  <c:v>1000</c:v>
                </c:pt>
                <c:pt idx="1">
                  <c:v>220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744-467D-A6CC-52CCCEED1253}"/>
            </c:ext>
          </c:extLst>
        </c:ser>
        <c:ser>
          <c:idx val="6"/>
          <c:order val="6"/>
          <c:tx>
            <c:v>Q2 FY25</c:v>
          </c:tx>
          <c:marker>
            <c:symbol val="none"/>
          </c:marker>
          <c:cat>
            <c:numRef>
              <c:f>'Quarterly Financials'!$C$3:$C$4</c:f>
              <c:numCache>
                <c:formatCode>#,##0.0</c:formatCode>
                <c:ptCount val="2"/>
                <c:pt idx="0">
                  <c:v>650</c:v>
                </c:pt>
                <c:pt idx="1">
                  <c:v>117</c:v>
                </c:pt>
              </c:numCache>
            </c:numRef>
          </c:cat>
          <c:val>
            <c:numRef>
              <c:f>'Quarterly Financials'!$J$3:$J$4</c:f>
              <c:numCache>
                <c:formatCode>#,##0.0</c:formatCode>
                <c:ptCount val="2"/>
                <c:pt idx="0">
                  <c:v>1150</c:v>
                </c:pt>
                <c:pt idx="1">
                  <c:v>207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744-467D-A6CC-52CCCEED1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Investor Risk Score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What Changed</c:v>
          </c:tx>
          <c:invertIfNegative val="1"/>
          <c:cat>
            <c:strRef>
              <c:f>'Investor Risk Map'!$A$3:$A$10</c:f>
              <c:strCache>
                <c:ptCount val="8"/>
                <c:pt idx="0">
                  <c:v>Operating margin decline</c:v>
                </c:pt>
                <c:pt idx="1">
                  <c:v>Operating cash flow deterioration</c:v>
                </c:pt>
                <c:pt idx="2">
                  <c:v>Margin guidance miss</c:v>
                </c:pt>
                <c:pt idx="3">
                  <c:v>Consumer Technology slowdown</c:v>
                </c:pt>
                <c:pt idx="4">
                  <c:v>Digital Services slowdown</c:v>
                </c:pt>
                <c:pt idx="5">
                  <c:v>Working-capital pressure</c:v>
                </c:pt>
                <c:pt idx="6">
                  <c:v>Growth concentration</c:v>
                </c:pt>
                <c:pt idx="7">
                  <c:v>Capex efficiency</c:v>
                </c:pt>
              </c:strCache>
            </c:strRef>
          </c:cat>
          <c:val>
            <c:numRef>
              <c:f>'Investor Risk Map'!$B$3:$B$10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D-4A63-8181-20F5211FFBD9}"/>
            </c:ext>
          </c:extLst>
        </c:ser>
        <c:ser>
          <c:idx val="1"/>
          <c:order val="1"/>
          <c:tx>
            <c:v>Why It Matters</c:v>
          </c:tx>
          <c:invertIfNegative val="1"/>
          <c:cat>
            <c:strRef>
              <c:f>'Investor Risk Map'!$A$3:$A$10</c:f>
              <c:strCache>
                <c:ptCount val="8"/>
                <c:pt idx="0">
                  <c:v>Operating margin decline</c:v>
                </c:pt>
                <c:pt idx="1">
                  <c:v>Operating cash flow deterioration</c:v>
                </c:pt>
                <c:pt idx="2">
                  <c:v>Margin guidance miss</c:v>
                </c:pt>
                <c:pt idx="3">
                  <c:v>Consumer Technology slowdown</c:v>
                </c:pt>
                <c:pt idx="4">
                  <c:v>Digital Services slowdown</c:v>
                </c:pt>
                <c:pt idx="5">
                  <c:v>Working-capital pressure</c:v>
                </c:pt>
                <c:pt idx="6">
                  <c:v>Growth concentration</c:v>
                </c:pt>
                <c:pt idx="7">
                  <c:v>Capex efficiency</c:v>
                </c:pt>
              </c:strCache>
            </c:strRef>
          </c:cat>
          <c:val>
            <c:numRef>
              <c:f>'Investor Risk Map'!$C$3:$C$10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3D-4A63-8181-20F5211FFBD9}"/>
            </c:ext>
          </c:extLst>
        </c:ser>
        <c:ser>
          <c:idx val="2"/>
          <c:order val="2"/>
          <c:tx>
            <c:v>Financial Impact (1–5)</c:v>
          </c:tx>
          <c:invertIfNegative val="1"/>
          <c:cat>
            <c:strRef>
              <c:f>'Investor Risk Map'!$A$3:$A$10</c:f>
              <c:strCache>
                <c:ptCount val="8"/>
                <c:pt idx="0">
                  <c:v>Operating margin decline</c:v>
                </c:pt>
                <c:pt idx="1">
                  <c:v>Operating cash flow deterioration</c:v>
                </c:pt>
                <c:pt idx="2">
                  <c:v>Margin guidance miss</c:v>
                </c:pt>
                <c:pt idx="3">
                  <c:v>Consumer Technology slowdown</c:v>
                </c:pt>
                <c:pt idx="4">
                  <c:v>Digital Services slowdown</c:v>
                </c:pt>
                <c:pt idx="5">
                  <c:v>Working-capital pressure</c:v>
                </c:pt>
                <c:pt idx="6">
                  <c:v>Growth concentration</c:v>
                </c:pt>
                <c:pt idx="7">
                  <c:v>Capex efficiency</c:v>
                </c:pt>
              </c:strCache>
            </c:strRef>
          </c:cat>
          <c:val>
            <c:numRef>
              <c:f>'Investor Risk Map'!$D$3:$D$10</c:f>
              <c:numCache>
                <c:formatCode>0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3D-4A63-8181-20F5211FFBD9}"/>
            </c:ext>
          </c:extLst>
        </c:ser>
        <c:ser>
          <c:idx val="3"/>
          <c:order val="3"/>
          <c:tx>
            <c:v>Negative Trend (1–5)</c:v>
          </c:tx>
          <c:invertIfNegative val="1"/>
          <c:cat>
            <c:strRef>
              <c:f>'Investor Risk Map'!$A$3:$A$10</c:f>
              <c:strCache>
                <c:ptCount val="8"/>
                <c:pt idx="0">
                  <c:v>Operating margin decline</c:v>
                </c:pt>
                <c:pt idx="1">
                  <c:v>Operating cash flow deterioration</c:v>
                </c:pt>
                <c:pt idx="2">
                  <c:v>Margin guidance miss</c:v>
                </c:pt>
                <c:pt idx="3">
                  <c:v>Consumer Technology slowdown</c:v>
                </c:pt>
                <c:pt idx="4">
                  <c:v>Digital Services slowdown</c:v>
                </c:pt>
                <c:pt idx="5">
                  <c:v>Working-capital pressure</c:v>
                </c:pt>
                <c:pt idx="6">
                  <c:v>Growth concentration</c:v>
                </c:pt>
                <c:pt idx="7">
                  <c:v>Capex efficiency</c:v>
                </c:pt>
              </c:strCache>
            </c:strRef>
          </c:cat>
          <c:val>
            <c:numRef>
              <c:f>'Investor Risk Map'!$E$3:$E$10</c:f>
              <c:numCache>
                <c:formatCode>0</c:formatCode>
                <c:ptCount val="8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3D-4A63-8181-20F5211FFBD9}"/>
            </c:ext>
          </c:extLst>
        </c:ser>
        <c:ser>
          <c:idx val="4"/>
          <c:order val="4"/>
          <c:tx>
            <c:v>Guidance Gap (1–5)</c:v>
          </c:tx>
          <c:invertIfNegative val="1"/>
          <c:cat>
            <c:strRef>
              <c:f>'Investor Risk Map'!$A$3:$A$10</c:f>
              <c:strCache>
                <c:ptCount val="8"/>
                <c:pt idx="0">
                  <c:v>Operating margin decline</c:v>
                </c:pt>
                <c:pt idx="1">
                  <c:v>Operating cash flow deterioration</c:v>
                </c:pt>
                <c:pt idx="2">
                  <c:v>Margin guidance miss</c:v>
                </c:pt>
                <c:pt idx="3">
                  <c:v>Consumer Technology slowdown</c:v>
                </c:pt>
                <c:pt idx="4">
                  <c:v>Digital Services slowdown</c:v>
                </c:pt>
                <c:pt idx="5">
                  <c:v>Working-capital pressure</c:v>
                </c:pt>
                <c:pt idx="6">
                  <c:v>Growth concentration</c:v>
                </c:pt>
                <c:pt idx="7">
                  <c:v>Capex efficiency</c:v>
                </c:pt>
              </c:strCache>
            </c:strRef>
          </c:cat>
          <c:val>
            <c:numRef>
              <c:f>'Investor Risk Map'!$F$3:$F$10</c:f>
              <c:numCache>
                <c:formatCode>0</c:formatCode>
                <c:ptCount val="8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3D-4A63-8181-20F5211FFBD9}"/>
            </c:ext>
          </c:extLst>
        </c:ser>
        <c:ser>
          <c:idx val="5"/>
          <c:order val="5"/>
          <c:tx>
            <c:v>Strategic Importance (1–5)</c:v>
          </c:tx>
          <c:invertIfNegative val="1"/>
          <c:cat>
            <c:strRef>
              <c:f>'Investor Risk Map'!$A$3:$A$10</c:f>
              <c:strCache>
                <c:ptCount val="8"/>
                <c:pt idx="0">
                  <c:v>Operating margin decline</c:v>
                </c:pt>
                <c:pt idx="1">
                  <c:v>Operating cash flow deterioration</c:v>
                </c:pt>
                <c:pt idx="2">
                  <c:v>Margin guidance miss</c:v>
                </c:pt>
                <c:pt idx="3">
                  <c:v>Consumer Technology slowdown</c:v>
                </c:pt>
                <c:pt idx="4">
                  <c:v>Digital Services slowdown</c:v>
                </c:pt>
                <c:pt idx="5">
                  <c:v>Working-capital pressure</c:v>
                </c:pt>
                <c:pt idx="6">
                  <c:v>Growth concentration</c:v>
                </c:pt>
                <c:pt idx="7">
                  <c:v>Capex efficiency</c:v>
                </c:pt>
              </c:strCache>
            </c:strRef>
          </c:cat>
          <c:val>
            <c:numRef>
              <c:f>'Investor Risk Map'!$G$3:$G$10</c:f>
              <c:numCache>
                <c:formatCode>0</c:formatCode>
                <c:ptCount val="8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3D-4A63-8181-20F5211FFBD9}"/>
            </c:ext>
          </c:extLst>
        </c:ser>
        <c:ser>
          <c:idx val="6"/>
          <c:order val="6"/>
          <c:tx>
            <c:v>Total Score</c:v>
          </c:tx>
          <c:invertIfNegative val="1"/>
          <c:cat>
            <c:strRef>
              <c:f>'Investor Risk Map'!$A$3:$A$10</c:f>
              <c:strCache>
                <c:ptCount val="8"/>
                <c:pt idx="0">
                  <c:v>Operating margin decline</c:v>
                </c:pt>
                <c:pt idx="1">
                  <c:v>Operating cash flow deterioration</c:v>
                </c:pt>
                <c:pt idx="2">
                  <c:v>Margin guidance miss</c:v>
                </c:pt>
                <c:pt idx="3">
                  <c:v>Consumer Technology slowdown</c:v>
                </c:pt>
                <c:pt idx="4">
                  <c:v>Digital Services slowdown</c:v>
                </c:pt>
                <c:pt idx="5">
                  <c:v>Working-capital pressure</c:v>
                </c:pt>
                <c:pt idx="6">
                  <c:v>Growth concentration</c:v>
                </c:pt>
                <c:pt idx="7">
                  <c:v>Capex efficiency</c:v>
                </c:pt>
              </c:strCache>
            </c:strRef>
          </c:cat>
          <c:val>
            <c:numRef>
              <c:f>'Investor Risk Map'!$H$3:$H$10</c:f>
              <c:numCache>
                <c:formatCode>0</c:formatCode>
                <c:ptCount val="8"/>
                <c:pt idx="0">
                  <c:v>19</c:v>
                </c:pt>
                <c:pt idx="1">
                  <c:v>18</c:v>
                </c:pt>
                <c:pt idx="2">
                  <c:v>18</c:v>
                </c:pt>
                <c:pt idx="3">
                  <c:v>15</c:v>
                </c:pt>
                <c:pt idx="4">
                  <c:v>13</c:v>
                </c:pt>
                <c:pt idx="5">
                  <c:v>14</c:v>
                </c:pt>
                <c:pt idx="6">
                  <c:v>12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3D-4A63-8181-20F5211FF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14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7"/>
  <sheetViews>
    <sheetView workbookViewId="0">
      <selection activeCell="B12" sqref="B12"/>
    </sheetView>
  </sheetViews>
  <sheetFormatPr defaultRowHeight="14"/>
  <cols>
    <col min="1" max="1" width="24" customWidth="1"/>
    <col min="2" max="2" width="72" customWidth="1"/>
  </cols>
  <sheetData>
    <row r="1" spans="1:26" ht="17.399999999999999" customHeight="1">
      <c r="A1" s="16" t="s">
        <v>673</v>
      </c>
      <c r="B1" s="16"/>
      <c r="C1" s="16"/>
      <c r="D1" s="16"/>
      <c r="E1" s="16"/>
      <c r="F1" s="16"/>
      <c r="G1" s="16"/>
      <c r="H1" s="16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11" t="s">
        <v>0</v>
      </c>
      <c r="B3" s="12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11" t="s">
        <v>2</v>
      </c>
      <c r="B4" s="12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8">
      <c r="A5" s="11" t="s">
        <v>4</v>
      </c>
      <c r="B5" s="12" t="s">
        <v>5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11" t="s">
        <v>6</v>
      </c>
      <c r="B6" s="12" t="s">
        <v>7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8">
      <c r="A7" s="11" t="s">
        <v>8</v>
      </c>
      <c r="B7" s="12" t="s">
        <v>9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11" t="s">
        <v>10</v>
      </c>
      <c r="B8" s="12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8">
      <c r="A9" s="11" t="s">
        <v>12</v>
      </c>
      <c r="B9" s="12" t="s">
        <v>13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tabSelected="1" workbookViewId="0">
      <selection sqref="A1:L1"/>
    </sheetView>
  </sheetViews>
  <sheetFormatPr defaultRowHeight="14"/>
  <cols>
    <col min="1" max="1" width="25" customWidth="1"/>
    <col min="2" max="2" width="10" customWidth="1"/>
    <col min="3" max="12" width="13" customWidth="1"/>
    <col min="13" max="13" width="48" customWidth="1"/>
  </cols>
  <sheetData>
    <row r="1" spans="1:26" ht="17.399999999999999" customHeight="1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3</v>
      </c>
      <c r="K2" s="1" t="s">
        <v>24</v>
      </c>
      <c r="L2" s="1" t="s">
        <v>25</v>
      </c>
      <c r="M2" s="1" t="s">
        <v>26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4" customHeight="1">
      <c r="A3" s="2" t="s">
        <v>27</v>
      </c>
      <c r="B3" s="2" t="s">
        <v>28</v>
      </c>
      <c r="C3" s="5">
        <v>650</v>
      </c>
      <c r="D3" s="5">
        <v>720</v>
      </c>
      <c r="E3" s="5">
        <v>760</v>
      </c>
      <c r="F3" s="5">
        <v>810</v>
      </c>
      <c r="G3" s="5">
        <v>820</v>
      </c>
      <c r="H3" s="5">
        <v>900</v>
      </c>
      <c r="I3" s="5">
        <v>1000</v>
      </c>
      <c r="J3" s="5">
        <v>1150</v>
      </c>
      <c r="K3" s="7">
        <f>J3/F3-1</f>
        <v>0.41975308641975317</v>
      </c>
      <c r="L3" s="7">
        <f>J3/I3-1</f>
        <v>0.14999999999999991</v>
      </c>
      <c r="M3" s="2" t="s">
        <v>29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4" customHeight="1">
      <c r="A4" s="2" t="s">
        <v>30</v>
      </c>
      <c r="B4" s="2" t="s">
        <v>28</v>
      </c>
      <c r="C4" s="5">
        <v>117</v>
      </c>
      <c r="D4" s="5">
        <v>135</v>
      </c>
      <c r="E4" s="5">
        <v>152</v>
      </c>
      <c r="F4" s="5">
        <v>170</v>
      </c>
      <c r="G4" s="5">
        <v>164</v>
      </c>
      <c r="H4" s="5">
        <v>198</v>
      </c>
      <c r="I4" s="5">
        <v>220</v>
      </c>
      <c r="J4" s="5">
        <v>207</v>
      </c>
      <c r="K4" s="7">
        <f>J4/F4-1</f>
        <v>0.2176470588235293</v>
      </c>
      <c r="L4" s="7">
        <f>J4/I4-1</f>
        <v>-5.9090909090909083E-2</v>
      </c>
      <c r="M4" s="2" t="s">
        <v>31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4" customHeight="1">
      <c r="A5" s="2" t="s">
        <v>32</v>
      </c>
      <c r="B5" s="2" t="s">
        <v>33</v>
      </c>
      <c r="C5" s="6">
        <v>0.18</v>
      </c>
      <c r="D5" s="6">
        <v>0.1875</v>
      </c>
      <c r="E5" s="6">
        <v>0.2</v>
      </c>
      <c r="F5" s="6">
        <v>0.20987654320987653</v>
      </c>
      <c r="G5" s="6">
        <v>0.2</v>
      </c>
      <c r="H5" s="6">
        <v>0.22</v>
      </c>
      <c r="I5" s="6">
        <v>0.22</v>
      </c>
      <c r="J5" s="6">
        <v>0.18</v>
      </c>
      <c r="K5" s="7">
        <f>J5-F5</f>
        <v>-2.9876543209876538E-2</v>
      </c>
      <c r="L5" s="7">
        <f>J5-I5</f>
        <v>-4.0000000000000008E-2</v>
      </c>
      <c r="M5" s="2" t="s">
        <v>34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4" customHeight="1">
      <c r="A6" s="2" t="s">
        <v>35</v>
      </c>
      <c r="B6" s="2" t="s">
        <v>28</v>
      </c>
      <c r="C6" s="5">
        <v>105</v>
      </c>
      <c r="D6" s="5">
        <v>120</v>
      </c>
      <c r="E6" s="5">
        <v>132</v>
      </c>
      <c r="F6" s="5">
        <v>150</v>
      </c>
      <c r="G6" s="5">
        <v>140</v>
      </c>
      <c r="H6" s="5">
        <v>180</v>
      </c>
      <c r="I6" s="5">
        <v>150</v>
      </c>
      <c r="J6" s="5">
        <v>110</v>
      </c>
      <c r="K6" s="7">
        <f t="shared" ref="K6:K13" si="0">J6/F6-1</f>
        <v>-0.26666666666666672</v>
      </c>
      <c r="L6" s="7">
        <f t="shared" ref="L6:L13" si="1">J6/I6-1</f>
        <v>-0.26666666666666672</v>
      </c>
      <c r="M6" s="2" t="s">
        <v>36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4" customHeight="1">
      <c r="A7" s="2" t="s">
        <v>37</v>
      </c>
      <c r="B7" s="2" t="s">
        <v>28</v>
      </c>
      <c r="C7" s="5">
        <v>70</v>
      </c>
      <c r="D7" s="5">
        <v>72</v>
      </c>
      <c r="E7" s="5">
        <v>78</v>
      </c>
      <c r="F7" s="5">
        <v>82</v>
      </c>
      <c r="G7" s="5">
        <v>85</v>
      </c>
      <c r="H7" s="5">
        <v>95</v>
      </c>
      <c r="I7" s="5">
        <v>110</v>
      </c>
      <c r="J7" s="5">
        <v>120</v>
      </c>
      <c r="K7" s="7">
        <f t="shared" si="0"/>
        <v>0.46341463414634143</v>
      </c>
      <c r="L7" s="7">
        <f t="shared" si="1"/>
        <v>9.0909090909090828E-2</v>
      </c>
      <c r="M7" s="2" t="s">
        <v>38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4" customHeight="1">
      <c r="A8" s="2" t="s">
        <v>39</v>
      </c>
      <c r="B8" s="2" t="s">
        <v>28</v>
      </c>
      <c r="C8" s="5">
        <v>35</v>
      </c>
      <c r="D8" s="5">
        <v>48</v>
      </c>
      <c r="E8" s="5">
        <v>54</v>
      </c>
      <c r="F8" s="5">
        <v>68</v>
      </c>
      <c r="G8" s="5">
        <v>55</v>
      </c>
      <c r="H8" s="5">
        <v>85</v>
      </c>
      <c r="I8" s="5">
        <v>40</v>
      </c>
      <c r="J8" s="5">
        <v>-10</v>
      </c>
      <c r="K8" s="7">
        <f t="shared" si="0"/>
        <v>-1.1470588235294117</v>
      </c>
      <c r="L8" s="7">
        <f t="shared" si="1"/>
        <v>-1.25</v>
      </c>
      <c r="M8" s="2" t="s">
        <v>40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4" customHeight="1">
      <c r="A9" s="2" t="s">
        <v>41</v>
      </c>
      <c r="B9" s="2" t="s">
        <v>28</v>
      </c>
      <c r="C9" s="5">
        <v>230</v>
      </c>
      <c r="D9" s="5">
        <v>240</v>
      </c>
      <c r="E9" s="5">
        <v>250</v>
      </c>
      <c r="F9" s="5">
        <v>265</v>
      </c>
      <c r="G9" s="5">
        <v>280</v>
      </c>
      <c r="H9" s="5">
        <v>290</v>
      </c>
      <c r="I9" s="5">
        <v>300</v>
      </c>
      <c r="J9" s="5">
        <v>320</v>
      </c>
      <c r="K9" s="7">
        <f t="shared" si="0"/>
        <v>0.20754716981132071</v>
      </c>
      <c r="L9" s="7">
        <f t="shared" si="1"/>
        <v>6.6666666666666652E-2</v>
      </c>
      <c r="M9" s="2" t="s">
        <v>42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4" customHeight="1">
      <c r="A10" s="2" t="s">
        <v>43</v>
      </c>
      <c r="B10" s="2" t="s">
        <v>28</v>
      </c>
      <c r="C10" s="5">
        <v>150</v>
      </c>
      <c r="D10" s="5">
        <v>160</v>
      </c>
      <c r="E10" s="5">
        <v>168</v>
      </c>
      <c r="F10" s="5">
        <v>175</v>
      </c>
      <c r="G10" s="5">
        <v>182</v>
      </c>
      <c r="H10" s="5">
        <v>188</v>
      </c>
      <c r="I10" s="5">
        <v>180</v>
      </c>
      <c r="J10" s="5">
        <v>190</v>
      </c>
      <c r="K10" s="7">
        <f t="shared" si="0"/>
        <v>8.5714285714285632E-2</v>
      </c>
      <c r="L10" s="7">
        <f t="shared" si="1"/>
        <v>5.555555555555558E-2</v>
      </c>
      <c r="M10" s="2" t="s">
        <v>44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4" customHeight="1">
      <c r="A11" s="2" t="s">
        <v>45</v>
      </c>
      <c r="B11" s="2" t="s">
        <v>28</v>
      </c>
      <c r="C11" s="5">
        <v>120</v>
      </c>
      <c r="D11" s="5">
        <v>125</v>
      </c>
      <c r="E11" s="5">
        <v>130</v>
      </c>
      <c r="F11" s="5">
        <v>135</v>
      </c>
      <c r="G11" s="5">
        <v>145</v>
      </c>
      <c r="H11" s="5">
        <v>150</v>
      </c>
      <c r="I11" s="5">
        <v>150</v>
      </c>
      <c r="J11" s="5">
        <v>160</v>
      </c>
      <c r="K11" s="7">
        <f t="shared" si="0"/>
        <v>0.18518518518518512</v>
      </c>
      <c r="L11" s="7">
        <f t="shared" si="1"/>
        <v>6.6666666666666652E-2</v>
      </c>
      <c r="M11" s="2" t="s">
        <v>46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4" customHeight="1">
      <c r="A12" s="2" t="s">
        <v>47</v>
      </c>
      <c r="B12" s="2" t="s">
        <v>28</v>
      </c>
      <c r="C12" s="5">
        <v>260</v>
      </c>
      <c r="D12" s="5">
        <v>275</v>
      </c>
      <c r="E12" s="5">
        <v>288</v>
      </c>
      <c r="F12" s="5">
        <v>305</v>
      </c>
      <c r="G12" s="5">
        <v>317</v>
      </c>
      <c r="H12" s="5">
        <v>328</v>
      </c>
      <c r="I12" s="5">
        <v>330</v>
      </c>
      <c r="J12" s="5">
        <v>350</v>
      </c>
      <c r="K12" s="7">
        <f t="shared" si="0"/>
        <v>0.14754098360655732</v>
      </c>
      <c r="L12" s="7">
        <f t="shared" si="1"/>
        <v>6.0606060606060552E-2</v>
      </c>
      <c r="M12" s="2" t="s">
        <v>48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4" customHeight="1">
      <c r="A13" s="2" t="s">
        <v>49</v>
      </c>
      <c r="B13" s="2" t="s">
        <v>50</v>
      </c>
      <c r="C13" s="4">
        <v>6.2</v>
      </c>
      <c r="D13" s="4">
        <v>7.1</v>
      </c>
      <c r="E13" s="4">
        <v>8</v>
      </c>
      <c r="F13" s="4">
        <v>8.9</v>
      </c>
      <c r="G13" s="4">
        <v>8.5</v>
      </c>
      <c r="H13" s="4">
        <v>10.199999999999999</v>
      </c>
      <c r="I13" s="4">
        <v>11.3</v>
      </c>
      <c r="J13" s="4">
        <v>10.8</v>
      </c>
      <c r="K13" s="7">
        <f t="shared" si="0"/>
        <v>0.21348314606741581</v>
      </c>
      <c r="L13" s="7">
        <f t="shared" si="1"/>
        <v>-4.4247787610619427E-2</v>
      </c>
      <c r="M13" s="2" t="s">
        <v>51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L1"/>
  </mergeCells>
  <conditionalFormatting sqref="L3:L1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sqref="A1:N1"/>
    </sheetView>
  </sheetViews>
  <sheetFormatPr defaultRowHeight="14"/>
  <cols>
    <col min="1" max="1" width="12" customWidth="1"/>
    <col min="2" max="2" width="22" customWidth="1"/>
    <col min="3" max="3" width="13" customWidth="1"/>
    <col min="4" max="8" width="12" customWidth="1"/>
    <col min="9" max="14" width="24" customWidth="1"/>
  </cols>
  <sheetData>
    <row r="1" spans="1:26" ht="17.399999999999999" customHeight="1">
      <c r="A1" s="16" t="s">
        <v>52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8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3">
      <c r="A3" s="2" t="s">
        <v>17</v>
      </c>
      <c r="B3" s="2" t="s">
        <v>67</v>
      </c>
      <c r="C3" s="8">
        <v>280</v>
      </c>
      <c r="D3" s="7"/>
      <c r="E3" s="7"/>
      <c r="F3" s="7"/>
      <c r="G3" s="7">
        <v>0.22</v>
      </c>
      <c r="H3" s="7">
        <v>0.43076923076923079</v>
      </c>
      <c r="I3" s="2" t="s">
        <v>68</v>
      </c>
      <c r="J3" s="2" t="s">
        <v>68</v>
      </c>
      <c r="K3" s="2" t="s">
        <v>69</v>
      </c>
      <c r="L3" s="2" t="s">
        <v>70</v>
      </c>
      <c r="M3" s="2" t="s">
        <v>71</v>
      </c>
      <c r="N3" s="2" t="s">
        <v>72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3">
      <c r="A4" s="2" t="s">
        <v>18</v>
      </c>
      <c r="B4" s="2" t="s">
        <v>67</v>
      </c>
      <c r="C4" s="8">
        <v>310</v>
      </c>
      <c r="D4" s="7">
        <v>0.10714285714285721</v>
      </c>
      <c r="E4" s="7"/>
      <c r="F4" s="7"/>
      <c r="G4" s="7">
        <v>0.23</v>
      </c>
      <c r="H4" s="7">
        <v>0.43055555555555558</v>
      </c>
      <c r="I4" s="2" t="s">
        <v>68</v>
      </c>
      <c r="J4" s="2" t="s">
        <v>68</v>
      </c>
      <c r="K4" s="2" t="s">
        <v>69</v>
      </c>
      <c r="L4" s="2" t="s">
        <v>70</v>
      </c>
      <c r="M4" s="2" t="s">
        <v>71</v>
      </c>
      <c r="N4" s="2" t="s">
        <v>72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3">
      <c r="A5" s="2" t="s">
        <v>19</v>
      </c>
      <c r="B5" s="2" t="s">
        <v>67</v>
      </c>
      <c r="C5" s="8">
        <v>325</v>
      </c>
      <c r="D5" s="7">
        <v>4.8387096774193505E-2</v>
      </c>
      <c r="E5" s="7">
        <v>0.10714285714285721</v>
      </c>
      <c r="F5" s="7">
        <v>-5.8755760368663701E-2</v>
      </c>
      <c r="G5" s="7">
        <v>0.23499999999999999</v>
      </c>
      <c r="H5" s="7">
        <v>0.42763157894736842</v>
      </c>
      <c r="I5" s="2" t="s">
        <v>68</v>
      </c>
      <c r="J5" s="2" t="s">
        <v>73</v>
      </c>
      <c r="K5" s="2" t="s">
        <v>69</v>
      </c>
      <c r="L5" s="2" t="s">
        <v>70</v>
      </c>
      <c r="M5" s="2" t="s">
        <v>71</v>
      </c>
      <c r="N5" s="2" t="s">
        <v>72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3">
      <c r="A6" s="2" t="s">
        <v>20</v>
      </c>
      <c r="B6" s="2" t="s">
        <v>67</v>
      </c>
      <c r="C6" s="8">
        <v>350</v>
      </c>
      <c r="D6" s="7">
        <v>7.6923076923076872E-2</v>
      </c>
      <c r="E6" s="7">
        <v>4.8387096774193505E-2</v>
      </c>
      <c r="F6" s="7">
        <v>2.8535980148883366E-2</v>
      </c>
      <c r="G6" s="7">
        <v>0.24</v>
      </c>
      <c r="H6" s="7">
        <v>0.43209876543209874</v>
      </c>
      <c r="I6" s="2" t="s">
        <v>68</v>
      </c>
      <c r="J6" s="2" t="s">
        <v>73</v>
      </c>
      <c r="K6" s="2" t="s">
        <v>69</v>
      </c>
      <c r="L6" s="2" t="s">
        <v>70</v>
      </c>
      <c r="M6" s="2" t="s">
        <v>71</v>
      </c>
      <c r="N6" s="2" t="s">
        <v>72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3">
      <c r="A7" s="2" t="s">
        <v>21</v>
      </c>
      <c r="B7" s="2" t="s">
        <v>67</v>
      </c>
      <c r="C7" s="8">
        <v>365</v>
      </c>
      <c r="D7" s="7">
        <v>4.2857142857142927E-2</v>
      </c>
      <c r="E7" s="7">
        <v>7.6923076923076872E-2</v>
      </c>
      <c r="F7" s="7">
        <v>-3.4065934065933945E-2</v>
      </c>
      <c r="G7" s="7">
        <v>0.25</v>
      </c>
      <c r="H7" s="7">
        <v>0.4451219512195122</v>
      </c>
      <c r="I7" s="2" t="s">
        <v>68</v>
      </c>
      <c r="J7" s="2" t="s">
        <v>73</v>
      </c>
      <c r="K7" s="2" t="s">
        <v>69</v>
      </c>
      <c r="L7" s="2" t="s">
        <v>70</v>
      </c>
      <c r="M7" s="2" t="s">
        <v>71</v>
      </c>
      <c r="N7" s="2" t="s">
        <v>72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3">
      <c r="A8" s="2" t="s">
        <v>22</v>
      </c>
      <c r="B8" s="2" t="s">
        <v>67</v>
      </c>
      <c r="C8" s="8">
        <v>400</v>
      </c>
      <c r="D8" s="7">
        <v>9.5890410958904049E-2</v>
      </c>
      <c r="E8" s="7">
        <v>4.2857142857142927E-2</v>
      </c>
      <c r="F8" s="7">
        <v>5.3033268101761122E-2</v>
      </c>
      <c r="G8" s="7">
        <v>0.255</v>
      </c>
      <c r="H8" s="7">
        <v>0.44444444444444442</v>
      </c>
      <c r="I8" s="2" t="s">
        <v>74</v>
      </c>
      <c r="J8" s="2" t="s">
        <v>75</v>
      </c>
      <c r="K8" s="2" t="s">
        <v>76</v>
      </c>
      <c r="L8" s="2" t="s">
        <v>70</v>
      </c>
      <c r="M8" s="2" t="s">
        <v>71</v>
      </c>
      <c r="N8" s="2" t="s">
        <v>72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3">
      <c r="A9" s="2" t="s">
        <v>23</v>
      </c>
      <c r="B9" s="2" t="s">
        <v>67</v>
      </c>
      <c r="C9" s="8">
        <v>417</v>
      </c>
      <c r="D9" s="7">
        <v>4.2499999999999982E-2</v>
      </c>
      <c r="E9" s="7">
        <v>9.5890410958904049E-2</v>
      </c>
      <c r="F9" s="7">
        <v>-5.3390410958904067E-2</v>
      </c>
      <c r="G9" s="7">
        <v>0.26</v>
      </c>
      <c r="H9" s="7">
        <v>0.41699999999999998</v>
      </c>
      <c r="I9" s="2" t="s">
        <v>74</v>
      </c>
      <c r="J9" s="2" t="s">
        <v>75</v>
      </c>
      <c r="K9" s="2" t="s">
        <v>76</v>
      </c>
      <c r="L9" s="2" t="s">
        <v>70</v>
      </c>
      <c r="M9" s="2" t="s">
        <v>71</v>
      </c>
      <c r="N9" s="2" t="s">
        <v>72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34.5">
      <c r="A10" s="2" t="s">
        <v>3</v>
      </c>
      <c r="B10" s="2" t="s">
        <v>67</v>
      </c>
      <c r="C10" s="8">
        <v>500</v>
      </c>
      <c r="D10" s="7">
        <v>0.19904076738609122</v>
      </c>
      <c r="E10" s="7">
        <v>4.2499999999999982E-2</v>
      </c>
      <c r="F10" s="7">
        <v>0.15654076738609124</v>
      </c>
      <c r="G10" s="7">
        <v>0.26</v>
      </c>
      <c r="H10" s="7">
        <v>0.43478260869565216</v>
      </c>
      <c r="I10" s="2" t="s">
        <v>74</v>
      </c>
      <c r="J10" s="2" t="s">
        <v>75</v>
      </c>
      <c r="K10" s="2" t="s">
        <v>76</v>
      </c>
      <c r="L10" s="2" t="s">
        <v>77</v>
      </c>
      <c r="M10" s="2" t="s">
        <v>71</v>
      </c>
      <c r="N10" s="2" t="s">
        <v>72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34.5">
      <c r="A11" s="2" t="s">
        <v>17</v>
      </c>
      <c r="B11" s="2" t="s">
        <v>78</v>
      </c>
      <c r="C11" s="8">
        <v>210</v>
      </c>
      <c r="D11" s="7"/>
      <c r="E11" s="7"/>
      <c r="F11" s="7"/>
      <c r="G11" s="7">
        <v>0.15</v>
      </c>
      <c r="H11" s="7">
        <v>0.32307692307692309</v>
      </c>
      <c r="I11" s="2" t="s">
        <v>68</v>
      </c>
      <c r="J11" s="2" t="s">
        <v>68</v>
      </c>
      <c r="K11" s="2" t="s">
        <v>76</v>
      </c>
      <c r="L11" s="2" t="s">
        <v>70</v>
      </c>
      <c r="M11" s="2" t="s">
        <v>79</v>
      </c>
      <c r="N11" s="2" t="s">
        <v>80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34.5">
      <c r="A12" s="2" t="s">
        <v>18</v>
      </c>
      <c r="B12" s="2" t="s">
        <v>78</v>
      </c>
      <c r="C12" s="8">
        <v>230</v>
      </c>
      <c r="D12" s="7">
        <v>9.5238095238095344E-2</v>
      </c>
      <c r="E12" s="7"/>
      <c r="F12" s="7"/>
      <c r="G12" s="7">
        <v>0.15</v>
      </c>
      <c r="H12" s="7">
        <v>0.31944444444444442</v>
      </c>
      <c r="I12" s="2" t="s">
        <v>68</v>
      </c>
      <c r="J12" s="2" t="s">
        <v>68</v>
      </c>
      <c r="K12" s="2" t="s">
        <v>76</v>
      </c>
      <c r="L12" s="2" t="s">
        <v>70</v>
      </c>
      <c r="M12" s="2" t="s">
        <v>79</v>
      </c>
      <c r="N12" s="2" t="s">
        <v>80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34.5">
      <c r="A13" s="2" t="s">
        <v>19</v>
      </c>
      <c r="B13" s="2" t="s">
        <v>78</v>
      </c>
      <c r="C13" s="8">
        <v>238</v>
      </c>
      <c r="D13" s="7">
        <v>3.4782608695652195E-2</v>
      </c>
      <c r="E13" s="7">
        <v>9.5238095238095344E-2</v>
      </c>
      <c r="F13" s="7">
        <v>-6.0455486542443149E-2</v>
      </c>
      <c r="G13" s="7">
        <v>0.15</v>
      </c>
      <c r="H13" s="7">
        <v>0.31315789473684208</v>
      </c>
      <c r="I13" s="2" t="s">
        <v>68</v>
      </c>
      <c r="J13" s="2" t="s">
        <v>76</v>
      </c>
      <c r="K13" s="2" t="s">
        <v>76</v>
      </c>
      <c r="L13" s="2" t="s">
        <v>70</v>
      </c>
      <c r="M13" s="2" t="s">
        <v>79</v>
      </c>
      <c r="N13" s="2" t="s">
        <v>80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34.5">
      <c r="A14" s="2" t="s">
        <v>20</v>
      </c>
      <c r="B14" s="2" t="s">
        <v>78</v>
      </c>
      <c r="C14" s="8">
        <v>250</v>
      </c>
      <c r="D14" s="7">
        <v>5.0420168067226934E-2</v>
      </c>
      <c r="E14" s="7">
        <v>3.4782608695652195E-2</v>
      </c>
      <c r="F14" s="7">
        <v>1.5637559371574739E-2</v>
      </c>
      <c r="G14" s="7">
        <v>0.155</v>
      </c>
      <c r="H14" s="7">
        <v>0.30864197530864196</v>
      </c>
      <c r="I14" s="2" t="s">
        <v>68</v>
      </c>
      <c r="J14" s="2" t="s">
        <v>76</v>
      </c>
      <c r="K14" s="2" t="s">
        <v>76</v>
      </c>
      <c r="L14" s="2" t="s">
        <v>70</v>
      </c>
      <c r="M14" s="2" t="s">
        <v>79</v>
      </c>
      <c r="N14" s="2" t="s">
        <v>80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34.5">
      <c r="A15" s="2" t="s">
        <v>21</v>
      </c>
      <c r="B15" s="2" t="s">
        <v>78</v>
      </c>
      <c r="C15" s="8">
        <v>260</v>
      </c>
      <c r="D15" s="7">
        <v>4.0000000000000036E-2</v>
      </c>
      <c r="E15" s="7">
        <v>5.0420168067226934E-2</v>
      </c>
      <c r="F15" s="7">
        <v>-1.0420168067226898E-2</v>
      </c>
      <c r="G15" s="7">
        <v>0.14499999999999999</v>
      </c>
      <c r="H15" s="7">
        <v>0.31707317073170732</v>
      </c>
      <c r="I15" s="2" t="s">
        <v>68</v>
      </c>
      <c r="J15" s="2" t="s">
        <v>81</v>
      </c>
      <c r="K15" s="2" t="s">
        <v>82</v>
      </c>
      <c r="L15" s="2" t="s">
        <v>70</v>
      </c>
      <c r="M15" s="2" t="s">
        <v>79</v>
      </c>
      <c r="N15" s="2" t="s">
        <v>80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34.5">
      <c r="A16" s="2" t="s">
        <v>22</v>
      </c>
      <c r="B16" s="2" t="s">
        <v>78</v>
      </c>
      <c r="C16" s="8">
        <v>300</v>
      </c>
      <c r="D16" s="7">
        <v>0.15384615384615374</v>
      </c>
      <c r="E16" s="7">
        <v>4.0000000000000036E-2</v>
      </c>
      <c r="F16" s="7">
        <v>0.11384615384615371</v>
      </c>
      <c r="G16" s="7">
        <v>0.15</v>
      </c>
      <c r="H16" s="7">
        <v>0.33333333333333331</v>
      </c>
      <c r="I16" s="2" t="s">
        <v>68</v>
      </c>
      <c r="J16" s="2" t="s">
        <v>83</v>
      </c>
      <c r="K16" s="2" t="s">
        <v>82</v>
      </c>
      <c r="L16" s="2" t="s">
        <v>70</v>
      </c>
      <c r="M16" s="2" t="s">
        <v>79</v>
      </c>
      <c r="N16" s="2" t="s">
        <v>80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34.5">
      <c r="A17" s="2" t="s">
        <v>23</v>
      </c>
      <c r="B17" s="2" t="s">
        <v>78</v>
      </c>
      <c r="C17" s="8">
        <v>364</v>
      </c>
      <c r="D17" s="7">
        <v>0.21333333333333337</v>
      </c>
      <c r="E17" s="7">
        <v>0.15384615384615374</v>
      </c>
      <c r="F17" s="7">
        <v>5.9487179487179631E-2</v>
      </c>
      <c r="G17" s="7">
        <v>0.15</v>
      </c>
      <c r="H17" s="7">
        <v>0.36399999999999999</v>
      </c>
      <c r="I17" s="2" t="s">
        <v>84</v>
      </c>
      <c r="J17" s="2" t="s">
        <v>85</v>
      </c>
      <c r="K17" s="2" t="s">
        <v>76</v>
      </c>
      <c r="L17" s="2" t="s">
        <v>70</v>
      </c>
      <c r="M17" s="2" t="s">
        <v>79</v>
      </c>
      <c r="N17" s="2" t="s">
        <v>80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34.5">
      <c r="A18" s="2" t="s">
        <v>3</v>
      </c>
      <c r="B18" s="2" t="s">
        <v>78</v>
      </c>
      <c r="C18" s="8">
        <v>389</v>
      </c>
      <c r="D18" s="7">
        <v>6.8681318681318659E-2</v>
      </c>
      <c r="E18" s="7">
        <v>0.21333333333333337</v>
      </c>
      <c r="F18" s="7">
        <v>-0.14465201465201472</v>
      </c>
      <c r="G18" s="7">
        <v>0.13500000000000001</v>
      </c>
      <c r="H18" s="7">
        <v>0.33826086956521739</v>
      </c>
      <c r="I18" s="2" t="s">
        <v>84</v>
      </c>
      <c r="J18" s="2" t="s">
        <v>86</v>
      </c>
      <c r="K18" s="2" t="s">
        <v>82</v>
      </c>
      <c r="L18" s="2" t="s">
        <v>87</v>
      </c>
      <c r="M18" s="2" t="s">
        <v>79</v>
      </c>
      <c r="N18" s="2" t="s">
        <v>80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34.5">
      <c r="A19" s="2" t="s">
        <v>17</v>
      </c>
      <c r="B19" s="2" t="s">
        <v>88</v>
      </c>
      <c r="C19" s="8">
        <v>160</v>
      </c>
      <c r="D19" s="7"/>
      <c r="E19" s="7"/>
      <c r="F19" s="7"/>
      <c r="G19" s="7">
        <v>0.2</v>
      </c>
      <c r="H19" s="7">
        <v>0.24615384615384617</v>
      </c>
      <c r="I19" s="2" t="s">
        <v>68</v>
      </c>
      <c r="J19" s="2" t="s">
        <v>68</v>
      </c>
      <c r="K19" s="2" t="s">
        <v>69</v>
      </c>
      <c r="L19" s="2" t="s">
        <v>70</v>
      </c>
      <c r="M19" s="2" t="s">
        <v>89</v>
      </c>
      <c r="N19" s="2" t="s">
        <v>90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4.5">
      <c r="A20" s="2" t="s">
        <v>18</v>
      </c>
      <c r="B20" s="2" t="s">
        <v>88</v>
      </c>
      <c r="C20" s="8">
        <v>175</v>
      </c>
      <c r="D20" s="7">
        <v>9.375E-2</v>
      </c>
      <c r="E20" s="7"/>
      <c r="F20" s="7"/>
      <c r="G20" s="7">
        <v>0.2</v>
      </c>
      <c r="H20" s="7">
        <v>0.24305555555555555</v>
      </c>
      <c r="I20" s="2" t="s">
        <v>68</v>
      </c>
      <c r="J20" s="2" t="s">
        <v>68</v>
      </c>
      <c r="K20" s="2" t="s">
        <v>69</v>
      </c>
      <c r="L20" s="2" t="s">
        <v>70</v>
      </c>
      <c r="M20" s="2" t="s">
        <v>89</v>
      </c>
      <c r="N20" s="2" t="s">
        <v>90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34.5">
      <c r="A21" s="2" t="s">
        <v>19</v>
      </c>
      <c r="B21" s="2" t="s">
        <v>88</v>
      </c>
      <c r="C21" s="8">
        <v>180</v>
      </c>
      <c r="D21" s="7">
        <v>2.857142857142847E-2</v>
      </c>
      <c r="E21" s="7">
        <v>9.375E-2</v>
      </c>
      <c r="F21" s="7">
        <v>-6.517857142857153E-2</v>
      </c>
      <c r="G21" s="7">
        <v>0.19500000000000001</v>
      </c>
      <c r="H21" s="7">
        <v>0.23684210526315788</v>
      </c>
      <c r="I21" s="2" t="s">
        <v>68</v>
      </c>
      <c r="J21" s="2" t="s">
        <v>76</v>
      </c>
      <c r="K21" s="2" t="s">
        <v>76</v>
      </c>
      <c r="L21" s="2" t="s">
        <v>70</v>
      </c>
      <c r="M21" s="2" t="s">
        <v>89</v>
      </c>
      <c r="N21" s="2" t="s">
        <v>90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34.5">
      <c r="A22" s="2" t="s">
        <v>20</v>
      </c>
      <c r="B22" s="2" t="s">
        <v>88</v>
      </c>
      <c r="C22" s="8">
        <v>190</v>
      </c>
      <c r="D22" s="7">
        <v>5.555555555555558E-2</v>
      </c>
      <c r="E22" s="7">
        <v>2.857142857142847E-2</v>
      </c>
      <c r="F22" s="7">
        <v>2.698412698412711E-2</v>
      </c>
      <c r="G22" s="7">
        <v>0.19</v>
      </c>
      <c r="H22" s="7">
        <v>0.23456790123456789</v>
      </c>
      <c r="I22" s="2" t="s">
        <v>68</v>
      </c>
      <c r="J22" s="2" t="s">
        <v>76</v>
      </c>
      <c r="K22" s="2" t="s">
        <v>76</v>
      </c>
      <c r="L22" s="2" t="s">
        <v>70</v>
      </c>
      <c r="M22" s="2" t="s">
        <v>89</v>
      </c>
      <c r="N22" s="2" t="s">
        <v>90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34.5">
      <c r="A23" s="2" t="s">
        <v>21</v>
      </c>
      <c r="B23" s="2" t="s">
        <v>88</v>
      </c>
      <c r="C23" s="8">
        <v>195</v>
      </c>
      <c r="D23" s="7">
        <v>2.6315789473684292E-2</v>
      </c>
      <c r="E23" s="7">
        <v>5.555555555555558E-2</v>
      </c>
      <c r="F23" s="7">
        <v>-2.9239766081871288E-2</v>
      </c>
      <c r="G23" s="7">
        <v>0.18</v>
      </c>
      <c r="H23" s="7">
        <v>0.23780487804878048</v>
      </c>
      <c r="I23" s="2" t="s">
        <v>68</v>
      </c>
      <c r="J23" s="2" t="s">
        <v>86</v>
      </c>
      <c r="K23" s="2" t="s">
        <v>76</v>
      </c>
      <c r="L23" s="2" t="s">
        <v>70</v>
      </c>
      <c r="M23" s="2" t="s">
        <v>89</v>
      </c>
      <c r="N23" s="2" t="s">
        <v>90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34.5">
      <c r="A24" s="2" t="s">
        <v>22</v>
      </c>
      <c r="B24" s="2" t="s">
        <v>88</v>
      </c>
      <c r="C24" s="8">
        <v>200</v>
      </c>
      <c r="D24" s="7">
        <v>2.564102564102555E-2</v>
      </c>
      <c r="E24" s="7">
        <v>2.6315789473684292E-2</v>
      </c>
      <c r="F24" s="7">
        <v>-6.747638326587424E-4</v>
      </c>
      <c r="G24" s="7">
        <v>0.18</v>
      </c>
      <c r="H24" s="7">
        <v>0.22222222222222221</v>
      </c>
      <c r="I24" s="2" t="s">
        <v>91</v>
      </c>
      <c r="J24" s="2" t="s">
        <v>86</v>
      </c>
      <c r="K24" s="2" t="s">
        <v>76</v>
      </c>
      <c r="L24" s="2" t="s">
        <v>70</v>
      </c>
      <c r="M24" s="2" t="s">
        <v>89</v>
      </c>
      <c r="N24" s="2" t="s">
        <v>90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34.5">
      <c r="A25" s="2" t="s">
        <v>23</v>
      </c>
      <c r="B25" s="2" t="s">
        <v>88</v>
      </c>
      <c r="C25" s="8">
        <v>253</v>
      </c>
      <c r="D25" s="7">
        <v>0.2649999999999999</v>
      </c>
      <c r="E25" s="7">
        <v>2.564102564102555E-2</v>
      </c>
      <c r="F25" s="7">
        <v>0.23935897435897435</v>
      </c>
      <c r="G25" s="7">
        <v>0.18</v>
      </c>
      <c r="H25" s="7">
        <v>0.253</v>
      </c>
      <c r="I25" s="2" t="s">
        <v>91</v>
      </c>
      <c r="J25" s="2" t="s">
        <v>92</v>
      </c>
      <c r="K25" s="2" t="s">
        <v>76</v>
      </c>
      <c r="L25" s="2" t="s">
        <v>70</v>
      </c>
      <c r="M25" s="2" t="s">
        <v>89</v>
      </c>
      <c r="N25" s="2" t="s">
        <v>90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34.5">
      <c r="A26" s="2" t="s">
        <v>3</v>
      </c>
      <c r="B26" s="2" t="s">
        <v>88</v>
      </c>
      <c r="C26" s="8">
        <v>261</v>
      </c>
      <c r="D26" s="7">
        <v>3.1620553359683834E-2</v>
      </c>
      <c r="E26" s="7">
        <v>0.2649999999999999</v>
      </c>
      <c r="F26" s="7">
        <v>-0.23337944664031607</v>
      </c>
      <c r="G26" s="7">
        <v>0.17499999999999999</v>
      </c>
      <c r="H26" s="7">
        <v>0.22695652173913045</v>
      </c>
      <c r="I26" s="2" t="s">
        <v>91</v>
      </c>
      <c r="J26" s="2" t="s">
        <v>93</v>
      </c>
      <c r="K26" s="2" t="s">
        <v>76</v>
      </c>
      <c r="L26" s="2" t="s">
        <v>94</v>
      </c>
      <c r="M26" s="2" t="s">
        <v>89</v>
      </c>
      <c r="N26" s="2" t="s">
        <v>90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sqref="A1:J1"/>
    </sheetView>
  </sheetViews>
  <sheetFormatPr defaultRowHeight="14"/>
  <cols>
    <col min="1" max="1" width="12" customWidth="1"/>
    <col min="2" max="2" width="54" customWidth="1"/>
    <col min="3" max="3" width="20" customWidth="1"/>
    <col min="4" max="6" width="18" customWidth="1"/>
    <col min="7" max="7" width="13" customWidth="1"/>
    <col min="8" max="10" width="34" customWidth="1"/>
  </cols>
  <sheetData>
    <row r="1" spans="1:26" ht="17.399999999999999" customHeight="1">
      <c r="A1" s="16" t="s">
        <v>95</v>
      </c>
      <c r="B1" s="16"/>
      <c r="C1" s="16"/>
      <c r="D1" s="16"/>
      <c r="E1" s="16"/>
      <c r="F1" s="16"/>
      <c r="G1" s="16"/>
      <c r="H1" s="16"/>
      <c r="I1" s="16"/>
      <c r="J1" s="16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" t="s">
        <v>53</v>
      </c>
      <c r="B2" s="1" t="s">
        <v>96</v>
      </c>
      <c r="C2" s="1" t="s">
        <v>15</v>
      </c>
      <c r="D2" s="1" t="s">
        <v>97</v>
      </c>
      <c r="E2" s="1" t="s">
        <v>98</v>
      </c>
      <c r="F2" s="1" t="s">
        <v>99</v>
      </c>
      <c r="G2" s="1" t="s">
        <v>100</v>
      </c>
      <c r="H2" s="1" t="s">
        <v>101</v>
      </c>
      <c r="I2" s="1" t="s">
        <v>102</v>
      </c>
      <c r="J2" s="1" t="s">
        <v>103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3">
      <c r="A3" s="2" t="s">
        <v>22</v>
      </c>
      <c r="B3" s="2" t="s">
        <v>104</v>
      </c>
      <c r="C3" s="2" t="s">
        <v>32</v>
      </c>
      <c r="D3" s="2" t="s">
        <v>105</v>
      </c>
      <c r="E3" s="2" t="s">
        <v>106</v>
      </c>
      <c r="F3" s="2" t="s">
        <v>107</v>
      </c>
      <c r="G3" s="2" t="s">
        <v>108</v>
      </c>
      <c r="H3" s="2" t="s">
        <v>109</v>
      </c>
      <c r="I3" s="2" t="s">
        <v>110</v>
      </c>
      <c r="J3" s="2" t="s">
        <v>111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3">
      <c r="A4" s="2" t="s">
        <v>22</v>
      </c>
      <c r="B4" s="2" t="s">
        <v>112</v>
      </c>
      <c r="C4" s="2" t="s">
        <v>35</v>
      </c>
      <c r="D4" s="2" t="s">
        <v>113</v>
      </c>
      <c r="E4" s="2" t="s">
        <v>114</v>
      </c>
      <c r="F4" s="2" t="s">
        <v>115</v>
      </c>
      <c r="G4" s="2" t="s">
        <v>108</v>
      </c>
      <c r="H4" s="2" t="s">
        <v>116</v>
      </c>
      <c r="I4" s="2" t="s">
        <v>110</v>
      </c>
      <c r="J4" s="2" t="s">
        <v>117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3">
      <c r="A5" s="2" t="s">
        <v>22</v>
      </c>
      <c r="B5" s="2" t="s">
        <v>118</v>
      </c>
      <c r="C5" s="2" t="s">
        <v>119</v>
      </c>
      <c r="D5" s="2" t="s">
        <v>120</v>
      </c>
      <c r="E5" s="2" t="s">
        <v>121</v>
      </c>
      <c r="F5" s="2" t="s">
        <v>122</v>
      </c>
      <c r="G5" s="2" t="s">
        <v>108</v>
      </c>
      <c r="H5" s="2" t="s">
        <v>123</v>
      </c>
      <c r="I5" s="2" t="s">
        <v>124</v>
      </c>
      <c r="J5" s="2" t="s">
        <v>125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3">
      <c r="A6" s="2" t="s">
        <v>22</v>
      </c>
      <c r="B6" s="2" t="s">
        <v>126</v>
      </c>
      <c r="C6" s="2" t="s">
        <v>127</v>
      </c>
      <c r="D6" s="2" t="s">
        <v>128</v>
      </c>
      <c r="E6" s="2" t="s">
        <v>129</v>
      </c>
      <c r="F6" s="2" t="s">
        <v>130</v>
      </c>
      <c r="G6" s="2" t="s">
        <v>131</v>
      </c>
      <c r="H6" s="2" t="s">
        <v>132</v>
      </c>
      <c r="I6" s="2" t="s">
        <v>133</v>
      </c>
      <c r="J6" s="2" t="s">
        <v>134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3">
      <c r="A7" s="2" t="s">
        <v>23</v>
      </c>
      <c r="B7" s="2" t="s">
        <v>135</v>
      </c>
      <c r="C7" s="2" t="s">
        <v>136</v>
      </c>
      <c r="D7" s="2" t="s">
        <v>137</v>
      </c>
      <c r="E7" s="2" t="s">
        <v>138</v>
      </c>
      <c r="F7" s="2" t="s">
        <v>130</v>
      </c>
      <c r="G7" s="2" t="s">
        <v>131</v>
      </c>
      <c r="H7" s="2" t="s">
        <v>139</v>
      </c>
      <c r="I7" s="2" t="s">
        <v>140</v>
      </c>
      <c r="J7" s="2" t="s">
        <v>141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3">
      <c r="A8" s="2" t="s">
        <v>23</v>
      </c>
      <c r="B8" s="2" t="s">
        <v>142</v>
      </c>
      <c r="C8" s="2" t="s">
        <v>143</v>
      </c>
      <c r="D8" s="2" t="s">
        <v>144</v>
      </c>
      <c r="E8" s="2" t="s">
        <v>145</v>
      </c>
      <c r="F8" s="2" t="s">
        <v>146</v>
      </c>
      <c r="G8" s="2" t="s">
        <v>108</v>
      </c>
      <c r="H8" s="2" t="s">
        <v>147</v>
      </c>
      <c r="I8" s="2" t="s">
        <v>140</v>
      </c>
      <c r="J8" s="2" t="s">
        <v>148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3">
      <c r="A9" s="2" t="s">
        <v>23</v>
      </c>
      <c r="B9" s="2" t="s">
        <v>149</v>
      </c>
      <c r="C9" s="2" t="s">
        <v>150</v>
      </c>
      <c r="D9" s="2" t="s">
        <v>151</v>
      </c>
      <c r="E9" s="2" t="s">
        <v>152</v>
      </c>
      <c r="F9" s="2" t="s">
        <v>153</v>
      </c>
      <c r="G9" s="2" t="s">
        <v>131</v>
      </c>
      <c r="H9" s="2" t="s">
        <v>154</v>
      </c>
      <c r="I9" s="2" t="s">
        <v>155</v>
      </c>
      <c r="J9" s="2" t="s">
        <v>156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3">
      <c r="A10" s="2" t="s">
        <v>23</v>
      </c>
      <c r="B10" s="2" t="s">
        <v>157</v>
      </c>
      <c r="C10" s="2" t="s">
        <v>150</v>
      </c>
      <c r="D10" s="2" t="s">
        <v>158</v>
      </c>
      <c r="E10" s="2" t="s">
        <v>159</v>
      </c>
      <c r="F10" s="2" t="s">
        <v>160</v>
      </c>
      <c r="G10" s="2" t="s">
        <v>108</v>
      </c>
      <c r="H10" s="2" t="s">
        <v>161</v>
      </c>
      <c r="I10" s="2" t="s">
        <v>155</v>
      </c>
      <c r="J10" s="2" t="s">
        <v>162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J1"/>
  </mergeCells>
  <conditionalFormatting sqref="G3:G10">
    <cfRule type="expression" dxfId="8" priority="1">
      <formula>G3="Missed"</formula>
    </cfRule>
    <cfRule type="expression" dxfId="7" priority="2">
      <formula>G3="Met"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sqref="A1:H1"/>
    </sheetView>
  </sheetViews>
  <sheetFormatPr defaultRowHeight="14"/>
  <cols>
    <col min="1" max="2" width="12" customWidth="1"/>
    <col min="3" max="3" width="18" customWidth="1"/>
    <col min="4" max="4" width="60" customWidth="1"/>
    <col min="5" max="5" width="32" customWidth="1"/>
    <col min="6" max="6" width="45" customWidth="1"/>
    <col min="7" max="8" width="15" customWidth="1"/>
  </cols>
  <sheetData>
    <row r="1" spans="1:26" ht="17.399999999999999" customHeight="1">
      <c r="A1" s="16" t="s">
        <v>163</v>
      </c>
      <c r="B1" s="16"/>
      <c r="C1" s="16"/>
      <c r="D1" s="16"/>
      <c r="E1" s="16"/>
      <c r="F1" s="16"/>
      <c r="G1" s="16"/>
      <c r="H1" s="16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8">
      <c r="A2" s="1" t="s">
        <v>53</v>
      </c>
      <c r="B2" s="1" t="s">
        <v>164</v>
      </c>
      <c r="C2" s="1" t="s">
        <v>165</v>
      </c>
      <c r="D2" s="1" t="s">
        <v>166</v>
      </c>
      <c r="E2" s="1" t="s">
        <v>167</v>
      </c>
      <c r="F2" s="1" t="s">
        <v>65</v>
      </c>
      <c r="G2" s="1" t="s">
        <v>168</v>
      </c>
      <c r="H2" s="1" t="s">
        <v>169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2" t="s">
        <v>22</v>
      </c>
      <c r="B3" s="2" t="s">
        <v>170</v>
      </c>
      <c r="C3" s="2" t="s">
        <v>171</v>
      </c>
      <c r="D3" s="2" t="s">
        <v>172</v>
      </c>
      <c r="E3" s="2" t="s">
        <v>173</v>
      </c>
      <c r="F3" s="2" t="s">
        <v>174</v>
      </c>
      <c r="G3" s="2" t="s">
        <v>175</v>
      </c>
      <c r="H3" s="2" t="s">
        <v>82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2" t="s">
        <v>22</v>
      </c>
      <c r="B4" s="2" t="s">
        <v>170</v>
      </c>
      <c r="C4" s="2" t="s">
        <v>176</v>
      </c>
      <c r="D4" s="2" t="s">
        <v>177</v>
      </c>
      <c r="E4" s="2" t="s">
        <v>178</v>
      </c>
      <c r="F4" s="2" t="s">
        <v>179</v>
      </c>
      <c r="G4" s="2" t="s">
        <v>175</v>
      </c>
      <c r="H4" s="2" t="s">
        <v>82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3">
      <c r="A5" s="2" t="s">
        <v>23</v>
      </c>
      <c r="B5" s="2" t="s">
        <v>180</v>
      </c>
      <c r="C5" s="2" t="s">
        <v>181</v>
      </c>
      <c r="D5" s="2" t="s">
        <v>182</v>
      </c>
      <c r="E5" s="2" t="s">
        <v>183</v>
      </c>
      <c r="F5" s="2" t="s">
        <v>184</v>
      </c>
      <c r="G5" s="2" t="s">
        <v>82</v>
      </c>
      <c r="H5" s="2" t="s">
        <v>175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2" t="s">
        <v>23</v>
      </c>
      <c r="B6" s="2" t="s">
        <v>180</v>
      </c>
      <c r="C6" s="2" t="s">
        <v>59</v>
      </c>
      <c r="D6" s="2" t="s">
        <v>185</v>
      </c>
      <c r="E6" s="2" t="s">
        <v>186</v>
      </c>
      <c r="F6" s="2" t="s">
        <v>187</v>
      </c>
      <c r="G6" s="2" t="s">
        <v>82</v>
      </c>
      <c r="H6" s="2" t="s">
        <v>82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2" t="s">
        <v>3</v>
      </c>
      <c r="B7" s="2" t="s">
        <v>188</v>
      </c>
      <c r="C7" s="2" t="s">
        <v>189</v>
      </c>
      <c r="D7" s="2" t="s">
        <v>190</v>
      </c>
      <c r="E7" s="2" t="s">
        <v>191</v>
      </c>
      <c r="F7" s="2" t="s">
        <v>192</v>
      </c>
      <c r="G7" s="2" t="s">
        <v>175</v>
      </c>
      <c r="H7" s="2" t="s">
        <v>82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3">
      <c r="A8" s="2" t="s">
        <v>3</v>
      </c>
      <c r="B8" s="2" t="s">
        <v>188</v>
      </c>
      <c r="C8" s="2" t="s">
        <v>193</v>
      </c>
      <c r="D8" s="2" t="s">
        <v>194</v>
      </c>
      <c r="E8" s="2" t="s">
        <v>195</v>
      </c>
      <c r="F8" s="2" t="s">
        <v>196</v>
      </c>
      <c r="G8" s="2" t="s">
        <v>175</v>
      </c>
      <c r="H8" s="2" t="s">
        <v>82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2" t="s">
        <v>3</v>
      </c>
      <c r="B9" s="2" t="s">
        <v>188</v>
      </c>
      <c r="C9" s="2" t="s">
        <v>197</v>
      </c>
      <c r="D9" s="2" t="s">
        <v>198</v>
      </c>
      <c r="E9" s="2" t="s">
        <v>199</v>
      </c>
      <c r="F9" s="2" t="s">
        <v>200</v>
      </c>
      <c r="G9" s="2" t="s">
        <v>69</v>
      </c>
      <c r="H9" s="2" t="s">
        <v>82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3">
      <c r="A10" s="2" t="s">
        <v>3</v>
      </c>
      <c r="B10" s="2" t="s">
        <v>188</v>
      </c>
      <c r="C10" s="2" t="s">
        <v>201</v>
      </c>
      <c r="D10" s="2" t="s">
        <v>202</v>
      </c>
      <c r="E10" s="2" t="s">
        <v>203</v>
      </c>
      <c r="F10" s="2" t="s">
        <v>204</v>
      </c>
      <c r="G10" s="2" t="s">
        <v>175</v>
      </c>
      <c r="H10" s="2" t="s">
        <v>82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2" t="s">
        <v>3</v>
      </c>
      <c r="B11" s="2" t="s">
        <v>188</v>
      </c>
      <c r="C11" s="2" t="s">
        <v>205</v>
      </c>
      <c r="D11" s="2" t="s">
        <v>206</v>
      </c>
      <c r="E11" s="2" t="s">
        <v>207</v>
      </c>
      <c r="F11" s="2" t="s">
        <v>208</v>
      </c>
      <c r="G11" s="2" t="s">
        <v>175</v>
      </c>
      <c r="H11" s="2" t="s">
        <v>82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2" t="s">
        <v>3</v>
      </c>
      <c r="B12" s="2" t="s">
        <v>188</v>
      </c>
      <c r="C12" s="2" t="s">
        <v>209</v>
      </c>
      <c r="D12" s="2" t="s">
        <v>210</v>
      </c>
      <c r="E12" s="2" t="s">
        <v>211</v>
      </c>
      <c r="F12" s="2" t="s">
        <v>212</v>
      </c>
      <c r="G12" s="2" t="s">
        <v>175</v>
      </c>
      <c r="H12" s="2" t="s">
        <v>82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3">
      <c r="A13" s="2" t="s">
        <v>3</v>
      </c>
      <c r="B13" s="2" t="s">
        <v>188</v>
      </c>
      <c r="C13" s="2" t="s">
        <v>67</v>
      </c>
      <c r="D13" s="2" t="s">
        <v>213</v>
      </c>
      <c r="E13" s="2" t="s">
        <v>214</v>
      </c>
      <c r="F13" s="2" t="s">
        <v>215</v>
      </c>
      <c r="G13" s="2" t="s">
        <v>82</v>
      </c>
      <c r="H13" s="2" t="s">
        <v>175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2" t="s">
        <v>3</v>
      </c>
      <c r="B14" s="2" t="s">
        <v>188</v>
      </c>
      <c r="C14" s="2" t="s">
        <v>88</v>
      </c>
      <c r="D14" s="2" t="s">
        <v>216</v>
      </c>
      <c r="E14" s="2" t="s">
        <v>217</v>
      </c>
      <c r="F14" s="2" t="s">
        <v>218</v>
      </c>
      <c r="G14" s="2" t="s">
        <v>69</v>
      </c>
      <c r="H14" s="2" t="s">
        <v>175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/>
  </sheetViews>
  <sheetFormatPr defaultRowHeight="14"/>
  <cols>
    <col min="1" max="1" width="12" customWidth="1"/>
    <col min="2" max="3" width="18" customWidth="1"/>
    <col min="4" max="4" width="56" customWidth="1"/>
    <col min="5" max="8" width="30" customWidth="1"/>
  </cols>
  <sheetData>
    <row r="1" spans="1:26" ht="17.399999999999999" customHeight="1">
      <c r="A1" s="16" t="s">
        <v>219</v>
      </c>
      <c r="B1" s="16"/>
      <c r="C1" s="16"/>
      <c r="D1" s="16"/>
      <c r="E1" s="16"/>
      <c r="F1" s="16"/>
      <c r="G1" s="16"/>
      <c r="H1" s="16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" t="s">
        <v>53</v>
      </c>
      <c r="B2" s="1" t="s">
        <v>220</v>
      </c>
      <c r="C2" s="1" t="s">
        <v>221</v>
      </c>
      <c r="D2" s="1" t="s">
        <v>222</v>
      </c>
      <c r="E2" s="1" t="s">
        <v>223</v>
      </c>
      <c r="F2" s="1" t="s">
        <v>224</v>
      </c>
      <c r="G2" s="1" t="s">
        <v>225</v>
      </c>
      <c r="H2" s="1" t="s">
        <v>226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2" t="s">
        <v>22</v>
      </c>
      <c r="B3" s="2" t="s">
        <v>227</v>
      </c>
      <c r="C3" s="2" t="s">
        <v>59</v>
      </c>
      <c r="D3" s="2" t="s">
        <v>104</v>
      </c>
      <c r="E3" s="2" t="s">
        <v>228</v>
      </c>
      <c r="F3" s="2" t="s">
        <v>229</v>
      </c>
      <c r="G3" s="2" t="s">
        <v>230</v>
      </c>
      <c r="H3" s="2" t="s">
        <v>231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3">
      <c r="A4" s="2" t="s">
        <v>22</v>
      </c>
      <c r="B4" s="2" t="s">
        <v>232</v>
      </c>
      <c r="C4" s="2" t="s">
        <v>205</v>
      </c>
      <c r="D4" s="2" t="s">
        <v>233</v>
      </c>
      <c r="E4" s="2" t="s">
        <v>234</v>
      </c>
      <c r="F4" s="2" t="s">
        <v>229</v>
      </c>
      <c r="G4" s="2" t="s">
        <v>235</v>
      </c>
      <c r="H4" s="2" t="s">
        <v>231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2" t="s">
        <v>22</v>
      </c>
      <c r="B5" s="2" t="s">
        <v>227</v>
      </c>
      <c r="C5" s="2" t="s">
        <v>236</v>
      </c>
      <c r="D5" s="2" t="s">
        <v>237</v>
      </c>
      <c r="E5" s="2" t="s">
        <v>238</v>
      </c>
      <c r="F5" s="2" t="s">
        <v>229</v>
      </c>
      <c r="G5" s="2" t="s">
        <v>239</v>
      </c>
      <c r="H5" s="2" t="s">
        <v>231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2" t="s">
        <v>22</v>
      </c>
      <c r="B6" s="2" t="s">
        <v>227</v>
      </c>
      <c r="C6" s="2" t="s">
        <v>27</v>
      </c>
      <c r="D6" s="2" t="s">
        <v>126</v>
      </c>
      <c r="E6" s="2" t="s">
        <v>240</v>
      </c>
      <c r="F6" s="2" t="s">
        <v>229</v>
      </c>
      <c r="G6" s="2" t="s">
        <v>241</v>
      </c>
      <c r="H6" s="2" t="s">
        <v>231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3">
      <c r="A7" s="2" t="s">
        <v>23</v>
      </c>
      <c r="B7" s="2" t="s">
        <v>232</v>
      </c>
      <c r="C7" s="2" t="s">
        <v>41</v>
      </c>
      <c r="D7" s="2" t="s">
        <v>242</v>
      </c>
      <c r="E7" s="2" t="s">
        <v>243</v>
      </c>
      <c r="F7" s="2" t="s">
        <v>76</v>
      </c>
      <c r="G7" s="2" t="s">
        <v>244</v>
      </c>
      <c r="H7" s="2" t="s">
        <v>245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3">
      <c r="A8" s="2" t="s">
        <v>23</v>
      </c>
      <c r="B8" s="2" t="s">
        <v>227</v>
      </c>
      <c r="C8" s="2" t="s">
        <v>246</v>
      </c>
      <c r="D8" s="2" t="s">
        <v>247</v>
      </c>
      <c r="E8" s="2" t="s">
        <v>248</v>
      </c>
      <c r="F8" s="2" t="s">
        <v>229</v>
      </c>
      <c r="G8" s="2" t="s">
        <v>249</v>
      </c>
      <c r="H8" s="2" t="s">
        <v>245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2" t="s">
        <v>23</v>
      </c>
      <c r="B9" s="2" t="s">
        <v>227</v>
      </c>
      <c r="C9" s="2" t="s">
        <v>88</v>
      </c>
      <c r="D9" s="2" t="s">
        <v>250</v>
      </c>
      <c r="E9" s="2" t="s">
        <v>248</v>
      </c>
      <c r="F9" s="2" t="s">
        <v>251</v>
      </c>
      <c r="G9" s="2" t="s">
        <v>252</v>
      </c>
      <c r="H9" s="2" t="s">
        <v>245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3">
      <c r="A10" s="2" t="s">
        <v>23</v>
      </c>
      <c r="B10" s="2" t="s">
        <v>232</v>
      </c>
      <c r="C10" s="2" t="s">
        <v>253</v>
      </c>
      <c r="D10" s="2" t="s">
        <v>254</v>
      </c>
      <c r="E10" s="2" t="s">
        <v>255</v>
      </c>
      <c r="F10" s="2" t="s">
        <v>229</v>
      </c>
      <c r="G10" s="2" t="s">
        <v>256</v>
      </c>
      <c r="H10" s="2" t="s">
        <v>245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/>
  </sheetViews>
  <sheetFormatPr defaultRowHeight="14"/>
  <cols>
    <col min="1" max="1" width="25" customWidth="1"/>
    <col min="2" max="4" width="18" customWidth="1"/>
    <col min="5" max="9" width="36" customWidth="1"/>
  </cols>
  <sheetData>
    <row r="1" spans="1:26" ht="17.399999999999999" customHeight="1">
      <c r="A1" s="16" t="s">
        <v>257</v>
      </c>
      <c r="B1" s="16"/>
      <c r="C1" s="16"/>
      <c r="D1" s="16"/>
      <c r="E1" s="16"/>
      <c r="F1" s="16"/>
      <c r="G1" s="16"/>
      <c r="H1" s="16"/>
      <c r="I1" s="16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8">
      <c r="A2" s="1" t="s">
        <v>15</v>
      </c>
      <c r="B2" s="1" t="s">
        <v>258</v>
      </c>
      <c r="C2" s="1" t="s">
        <v>259</v>
      </c>
      <c r="D2" s="1" t="s">
        <v>260</v>
      </c>
      <c r="E2" s="1" t="s">
        <v>261</v>
      </c>
      <c r="F2" s="1" t="s">
        <v>262</v>
      </c>
      <c r="G2" s="1" t="s">
        <v>263</v>
      </c>
      <c r="H2" s="1" t="s">
        <v>264</v>
      </c>
      <c r="I2" s="1" t="s">
        <v>265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2" t="s">
        <v>127</v>
      </c>
      <c r="B3" s="2" t="s">
        <v>266</v>
      </c>
      <c r="C3" s="2" t="s">
        <v>129</v>
      </c>
      <c r="D3" s="2" t="s">
        <v>130</v>
      </c>
      <c r="E3" s="2" t="s">
        <v>267</v>
      </c>
      <c r="F3" s="2" t="s">
        <v>69</v>
      </c>
      <c r="G3" s="2" t="s">
        <v>268</v>
      </c>
      <c r="H3" s="2" t="s">
        <v>269</v>
      </c>
      <c r="I3" s="2" t="s">
        <v>270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2" t="s">
        <v>32</v>
      </c>
      <c r="B4" s="2" t="s">
        <v>271</v>
      </c>
      <c r="C4" s="2" t="s">
        <v>106</v>
      </c>
      <c r="D4" s="2" t="s">
        <v>272</v>
      </c>
      <c r="E4" s="2" t="s">
        <v>273</v>
      </c>
      <c r="F4" s="2" t="s">
        <v>274</v>
      </c>
      <c r="G4" s="2" t="s">
        <v>275</v>
      </c>
      <c r="H4" s="2" t="s">
        <v>269</v>
      </c>
      <c r="I4" s="2" t="s">
        <v>270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2" t="s">
        <v>35</v>
      </c>
      <c r="B5" s="2" t="s">
        <v>276</v>
      </c>
      <c r="C5" s="2" t="s">
        <v>114</v>
      </c>
      <c r="D5" s="2" t="s">
        <v>277</v>
      </c>
      <c r="E5" s="2" t="s">
        <v>278</v>
      </c>
      <c r="F5" s="2" t="s">
        <v>274</v>
      </c>
      <c r="G5" s="2" t="s">
        <v>279</v>
      </c>
      <c r="H5" s="2" t="s">
        <v>269</v>
      </c>
      <c r="I5" s="2" t="s">
        <v>270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2" t="s">
        <v>119</v>
      </c>
      <c r="B6" s="2" t="s">
        <v>280</v>
      </c>
      <c r="C6" s="2" t="s">
        <v>121</v>
      </c>
      <c r="D6" s="2" t="s">
        <v>277</v>
      </c>
      <c r="E6" s="2" t="s">
        <v>281</v>
      </c>
      <c r="F6" s="2" t="s">
        <v>82</v>
      </c>
      <c r="G6" s="2" t="s">
        <v>282</v>
      </c>
      <c r="H6" s="2" t="s">
        <v>269</v>
      </c>
      <c r="I6" s="2" t="s">
        <v>270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175</v>
      </c>
      <c r="G7" s="2" t="s">
        <v>288</v>
      </c>
      <c r="H7" s="2" t="s">
        <v>269</v>
      </c>
      <c r="I7" s="2" t="s">
        <v>270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2" t="s">
        <v>289</v>
      </c>
      <c r="B8" s="2" t="s">
        <v>290</v>
      </c>
      <c r="C8" s="2" t="s">
        <v>159</v>
      </c>
      <c r="D8" s="2" t="s">
        <v>277</v>
      </c>
      <c r="E8" s="2" t="s">
        <v>291</v>
      </c>
      <c r="F8" s="2" t="s">
        <v>82</v>
      </c>
      <c r="G8" s="2" t="s">
        <v>292</v>
      </c>
      <c r="H8" s="2" t="s">
        <v>269</v>
      </c>
      <c r="I8" s="2" t="s">
        <v>270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2" t="s">
        <v>136</v>
      </c>
      <c r="B9" s="2" t="s">
        <v>293</v>
      </c>
      <c r="C9" s="2" t="s">
        <v>138</v>
      </c>
      <c r="D9" s="2" t="s">
        <v>130</v>
      </c>
      <c r="E9" s="2" t="s">
        <v>294</v>
      </c>
      <c r="F9" s="2" t="s">
        <v>69</v>
      </c>
      <c r="G9" s="2" t="s">
        <v>295</v>
      </c>
      <c r="H9" s="2" t="s">
        <v>269</v>
      </c>
      <c r="I9" s="2" t="s">
        <v>270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2" t="s">
        <v>49</v>
      </c>
      <c r="B10" s="2" t="s">
        <v>296</v>
      </c>
      <c r="C10" s="2" t="s">
        <v>297</v>
      </c>
      <c r="D10" s="2" t="s">
        <v>298</v>
      </c>
      <c r="E10" s="2" t="s">
        <v>299</v>
      </c>
      <c r="F10" s="2" t="s">
        <v>175</v>
      </c>
      <c r="G10" s="2" t="s">
        <v>300</v>
      </c>
      <c r="H10" s="2" t="s">
        <v>269</v>
      </c>
      <c r="I10" s="2" t="s">
        <v>270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/>
  </sheetViews>
  <sheetFormatPr defaultRowHeight="14"/>
  <cols>
    <col min="1" max="1" width="12" customWidth="1"/>
    <col min="2" max="2" width="30" customWidth="1"/>
    <col min="3" max="6" width="15" customWidth="1"/>
    <col min="7" max="7" width="14" customWidth="1"/>
    <col min="8" max="10" width="34" customWidth="1"/>
  </cols>
  <sheetData>
    <row r="1" spans="1:26" ht="17.399999999999999" customHeight="1">
      <c r="A1" s="16" t="s">
        <v>301</v>
      </c>
      <c r="B1" s="16"/>
      <c r="C1" s="16"/>
      <c r="D1" s="16"/>
      <c r="E1" s="16"/>
      <c r="F1" s="16"/>
      <c r="G1" s="16"/>
      <c r="H1" s="16"/>
      <c r="I1" s="16"/>
      <c r="J1" s="16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8">
      <c r="A2" s="1" t="s">
        <v>53</v>
      </c>
      <c r="B2" s="1" t="s">
        <v>15</v>
      </c>
      <c r="C2" s="1" t="s">
        <v>302</v>
      </c>
      <c r="D2" s="1" t="s">
        <v>303</v>
      </c>
      <c r="E2" s="1" t="s">
        <v>304</v>
      </c>
      <c r="F2" s="1" t="s">
        <v>305</v>
      </c>
      <c r="G2" s="1" t="s">
        <v>100</v>
      </c>
      <c r="H2" s="1" t="s">
        <v>306</v>
      </c>
      <c r="I2" s="1" t="s">
        <v>65</v>
      </c>
      <c r="J2" s="1" t="s">
        <v>307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2" t="s">
        <v>21</v>
      </c>
      <c r="B3" s="2" t="s">
        <v>143</v>
      </c>
      <c r="C3" s="2">
        <v>91</v>
      </c>
      <c r="D3" s="2" t="s">
        <v>308</v>
      </c>
      <c r="E3" s="2"/>
      <c r="F3" s="2" t="s">
        <v>309</v>
      </c>
      <c r="G3" s="2" t="s">
        <v>310</v>
      </c>
      <c r="H3" s="2" t="s">
        <v>311</v>
      </c>
      <c r="I3" s="2" t="s">
        <v>312</v>
      </c>
      <c r="J3" s="2" t="s">
        <v>232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2" t="s">
        <v>22</v>
      </c>
      <c r="B4" s="2" t="s">
        <v>143</v>
      </c>
      <c r="C4" s="2">
        <v>88</v>
      </c>
      <c r="D4" s="2" t="s">
        <v>308</v>
      </c>
      <c r="E4" s="2"/>
      <c r="F4" s="2" t="s">
        <v>309</v>
      </c>
      <c r="G4" s="2" t="s">
        <v>310</v>
      </c>
      <c r="H4" s="2" t="s">
        <v>311</v>
      </c>
      <c r="I4" s="2" t="s">
        <v>312</v>
      </c>
      <c r="J4" s="2" t="s">
        <v>232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2" t="s">
        <v>23</v>
      </c>
      <c r="B5" s="2" t="s">
        <v>143</v>
      </c>
      <c r="C5" s="2">
        <v>95</v>
      </c>
      <c r="D5" s="2" t="s">
        <v>308</v>
      </c>
      <c r="E5" s="2"/>
      <c r="F5" s="2" t="s">
        <v>309</v>
      </c>
      <c r="G5" s="2" t="s">
        <v>313</v>
      </c>
      <c r="H5" s="2" t="s">
        <v>311</v>
      </c>
      <c r="I5" s="2" t="s">
        <v>314</v>
      </c>
      <c r="J5" s="2" t="s">
        <v>232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2" t="s">
        <v>3</v>
      </c>
      <c r="B6" s="2" t="s">
        <v>143</v>
      </c>
      <c r="C6" s="2">
        <v>101</v>
      </c>
      <c r="D6" s="2" t="s">
        <v>308</v>
      </c>
      <c r="E6" s="2" t="s">
        <v>315</v>
      </c>
      <c r="F6" s="2" t="s">
        <v>309</v>
      </c>
      <c r="G6" s="2" t="s">
        <v>316</v>
      </c>
      <c r="H6" s="2" t="s">
        <v>82</v>
      </c>
      <c r="I6" s="2" t="s">
        <v>317</v>
      </c>
      <c r="J6" s="2" t="s">
        <v>232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2" t="s">
        <v>3</v>
      </c>
      <c r="B7" s="2" t="s">
        <v>318</v>
      </c>
      <c r="C7" s="2">
        <v>74</v>
      </c>
      <c r="D7" s="2" t="s">
        <v>308</v>
      </c>
      <c r="E7" s="2" t="s">
        <v>319</v>
      </c>
      <c r="F7" s="2" t="s">
        <v>320</v>
      </c>
      <c r="G7" s="2" t="s">
        <v>316</v>
      </c>
      <c r="H7" s="2" t="s">
        <v>311</v>
      </c>
      <c r="I7" s="2" t="s">
        <v>321</v>
      </c>
      <c r="J7" s="2" t="s">
        <v>322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2" t="s">
        <v>3</v>
      </c>
      <c r="B8" s="2" t="s">
        <v>323</v>
      </c>
      <c r="C8" s="2">
        <v>31</v>
      </c>
      <c r="D8" s="2" t="s">
        <v>33</v>
      </c>
      <c r="E8" s="2" t="s">
        <v>324</v>
      </c>
      <c r="F8" s="2" t="s">
        <v>325</v>
      </c>
      <c r="G8" s="2" t="s">
        <v>310</v>
      </c>
      <c r="H8" s="2" t="s">
        <v>326</v>
      </c>
      <c r="I8" s="2" t="s">
        <v>327</v>
      </c>
      <c r="J8" s="2" t="s">
        <v>328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3">
      <c r="A9" s="2" t="s">
        <v>3</v>
      </c>
      <c r="B9" s="2" t="s">
        <v>329</v>
      </c>
      <c r="C9" s="2">
        <v>4</v>
      </c>
      <c r="D9" s="2" t="s">
        <v>33</v>
      </c>
      <c r="E9" s="2" t="s">
        <v>330</v>
      </c>
      <c r="F9" s="2" t="s">
        <v>158</v>
      </c>
      <c r="G9" s="2" t="s">
        <v>316</v>
      </c>
      <c r="H9" s="2" t="s">
        <v>331</v>
      </c>
      <c r="I9" s="2" t="s">
        <v>332</v>
      </c>
      <c r="J9" s="2" t="s">
        <v>333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2" t="s">
        <v>3</v>
      </c>
      <c r="B10" s="2" t="s">
        <v>334</v>
      </c>
      <c r="C10" s="2">
        <v>68</v>
      </c>
      <c r="D10" s="2" t="s">
        <v>33</v>
      </c>
      <c r="E10" s="2" t="s">
        <v>335</v>
      </c>
      <c r="F10" s="2" t="s">
        <v>336</v>
      </c>
      <c r="G10" s="2" t="s">
        <v>316</v>
      </c>
      <c r="H10" s="2" t="s">
        <v>337</v>
      </c>
      <c r="I10" s="2" t="s">
        <v>338</v>
      </c>
      <c r="J10" s="2" t="s">
        <v>322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2" t="s">
        <v>3</v>
      </c>
      <c r="B11" s="2" t="s">
        <v>339</v>
      </c>
      <c r="C11" s="2">
        <v>2.1</v>
      </c>
      <c r="D11" s="2" t="s">
        <v>33</v>
      </c>
      <c r="E11" s="2" t="s">
        <v>340</v>
      </c>
      <c r="F11" s="2" t="s">
        <v>341</v>
      </c>
      <c r="G11" s="2" t="s">
        <v>310</v>
      </c>
      <c r="H11" s="2" t="s">
        <v>342</v>
      </c>
      <c r="I11" s="2" t="s">
        <v>343</v>
      </c>
      <c r="J11" s="2" t="s">
        <v>344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2" t="s">
        <v>3</v>
      </c>
      <c r="B12" s="2" t="s">
        <v>345</v>
      </c>
      <c r="C12" s="2">
        <v>76</v>
      </c>
      <c r="D12" s="2" t="s">
        <v>33</v>
      </c>
      <c r="E12" s="2" t="s">
        <v>107</v>
      </c>
      <c r="F12" s="2" t="s">
        <v>346</v>
      </c>
      <c r="G12" s="2" t="s">
        <v>313</v>
      </c>
      <c r="H12" s="2" t="s">
        <v>347</v>
      </c>
      <c r="I12" s="2" t="s">
        <v>348</v>
      </c>
      <c r="J12" s="2" t="s">
        <v>322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J1"/>
  </mergeCells>
  <conditionalFormatting sqref="G3:G12">
    <cfRule type="expression" dxfId="6" priority="1">
      <formula>G3="Off target"</formula>
    </cfRule>
    <cfRule type="expression" dxfId="5" priority="2">
      <formula>G3="On target"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0"/>
  <sheetViews>
    <sheetView workbookViewId="0"/>
  </sheetViews>
  <sheetFormatPr defaultRowHeight="14"/>
  <cols>
    <col min="1" max="1" width="25" customWidth="1"/>
    <col min="2" max="2" width="19" customWidth="1"/>
    <col min="3" max="3" width="14" customWidth="1"/>
    <col min="4" max="8" width="34" customWidth="1"/>
  </cols>
  <sheetData>
    <row r="1" spans="1:26" ht="17.399999999999999" customHeight="1">
      <c r="A1" s="16" t="s">
        <v>349</v>
      </c>
      <c r="B1" s="16"/>
      <c r="C1" s="16"/>
      <c r="D1" s="16"/>
      <c r="E1" s="16"/>
      <c r="F1" s="16"/>
      <c r="G1" s="16"/>
      <c r="H1" s="16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8">
      <c r="A2" s="1" t="s">
        <v>350</v>
      </c>
      <c r="B2" s="1" t="s">
        <v>351</v>
      </c>
      <c r="C2" s="1" t="s">
        <v>352</v>
      </c>
      <c r="D2" s="1" t="s">
        <v>353</v>
      </c>
      <c r="E2" s="1" t="s">
        <v>354</v>
      </c>
      <c r="F2" s="1" t="s">
        <v>65</v>
      </c>
      <c r="G2" s="1" t="s">
        <v>355</v>
      </c>
      <c r="H2" s="1" t="s">
        <v>356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2" t="s">
        <v>30</v>
      </c>
      <c r="B3" s="2">
        <v>207</v>
      </c>
      <c r="C3" s="2" t="s">
        <v>356</v>
      </c>
      <c r="D3" s="2" t="s">
        <v>357</v>
      </c>
      <c r="E3" s="2" t="s">
        <v>358</v>
      </c>
      <c r="F3" s="2" t="s">
        <v>359</v>
      </c>
      <c r="G3" s="2" t="s">
        <v>360</v>
      </c>
      <c r="H3" s="2" t="s">
        <v>361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2" t="s">
        <v>362</v>
      </c>
      <c r="B4" s="2">
        <v>-20</v>
      </c>
      <c r="C4" s="2" t="s">
        <v>363</v>
      </c>
      <c r="D4" s="2" t="s">
        <v>364</v>
      </c>
      <c r="E4" s="2" t="s">
        <v>365</v>
      </c>
      <c r="F4" s="2" t="s">
        <v>366</v>
      </c>
      <c r="G4" s="2" t="s">
        <v>274</v>
      </c>
      <c r="H4" s="2" t="s">
        <v>361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2" t="s">
        <v>367</v>
      </c>
      <c r="B5" s="2">
        <v>-10</v>
      </c>
      <c r="C5" s="2" t="s">
        <v>363</v>
      </c>
      <c r="D5" s="2" t="s">
        <v>368</v>
      </c>
      <c r="E5" s="2" t="s">
        <v>369</v>
      </c>
      <c r="F5" s="2" t="s">
        <v>370</v>
      </c>
      <c r="G5" s="2" t="s">
        <v>82</v>
      </c>
      <c r="H5" s="2" t="s">
        <v>361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>
      <c r="A6" s="2" t="s">
        <v>371</v>
      </c>
      <c r="B6" s="2">
        <v>10</v>
      </c>
      <c r="C6" s="2" t="s">
        <v>372</v>
      </c>
      <c r="D6" s="2" t="s">
        <v>373</v>
      </c>
      <c r="E6" s="2" t="s">
        <v>374</v>
      </c>
      <c r="F6" s="2" t="s">
        <v>375</v>
      </c>
      <c r="G6" s="2" t="s">
        <v>175</v>
      </c>
      <c r="H6" s="2" t="s">
        <v>361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3">
      <c r="A7" s="2" t="s">
        <v>376</v>
      </c>
      <c r="B7" s="2">
        <v>-67</v>
      </c>
      <c r="C7" s="2" t="s">
        <v>363</v>
      </c>
      <c r="D7" s="2" t="s">
        <v>377</v>
      </c>
      <c r="E7" s="2" t="s">
        <v>378</v>
      </c>
      <c r="F7" s="2" t="s">
        <v>379</v>
      </c>
      <c r="G7" s="2" t="s">
        <v>82</v>
      </c>
      <c r="H7" s="2" t="s">
        <v>380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3">
      <c r="A8" s="2" t="s">
        <v>35</v>
      </c>
      <c r="B8" s="2">
        <v>110</v>
      </c>
      <c r="C8" s="2" t="s">
        <v>381</v>
      </c>
      <c r="D8" s="2" t="s">
        <v>382</v>
      </c>
      <c r="E8" s="2" t="s">
        <v>383</v>
      </c>
      <c r="F8" s="2" t="s">
        <v>384</v>
      </c>
      <c r="G8" s="2" t="s">
        <v>274</v>
      </c>
      <c r="H8" s="2" t="s">
        <v>361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0"/>
  <sheetViews>
    <sheetView workbookViewId="0"/>
  </sheetViews>
  <sheetFormatPr defaultRowHeight="14"/>
  <cols>
    <col min="1" max="1" width="25" customWidth="1"/>
    <col min="2" max="2" width="28" customWidth="1"/>
    <col min="3" max="3" width="34" customWidth="1"/>
    <col min="4" max="8" width="16" customWidth="1"/>
    <col min="9" max="9" width="13" customWidth="1"/>
    <col min="10" max="10" width="34" customWidth="1"/>
  </cols>
  <sheetData>
    <row r="1" spans="1:26" ht="17.399999999999999" customHeight="1">
      <c r="A1" s="16" t="s">
        <v>385</v>
      </c>
      <c r="B1" s="16"/>
      <c r="C1" s="16"/>
      <c r="D1" s="16"/>
      <c r="E1" s="16"/>
      <c r="F1" s="16"/>
      <c r="G1" s="16"/>
      <c r="H1" s="16"/>
      <c r="I1" s="16"/>
      <c r="J1" s="16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8">
      <c r="A2" s="1" t="s">
        <v>386</v>
      </c>
      <c r="B2" s="1" t="s">
        <v>387</v>
      </c>
      <c r="C2" s="1" t="s">
        <v>388</v>
      </c>
      <c r="D2" s="1" t="s">
        <v>389</v>
      </c>
      <c r="E2" s="1" t="s">
        <v>390</v>
      </c>
      <c r="F2" s="1" t="s">
        <v>391</v>
      </c>
      <c r="G2" s="1" t="s">
        <v>392</v>
      </c>
      <c r="H2" s="1" t="s">
        <v>393</v>
      </c>
      <c r="I2" s="1" t="s">
        <v>394</v>
      </c>
      <c r="J2" s="1" t="s">
        <v>395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3">
      <c r="A3" s="2" t="s">
        <v>396</v>
      </c>
      <c r="B3" s="2" t="s">
        <v>397</v>
      </c>
      <c r="C3" s="2" t="s">
        <v>398</v>
      </c>
      <c r="D3" s="9">
        <v>5</v>
      </c>
      <c r="E3" s="9">
        <v>5</v>
      </c>
      <c r="F3" s="9">
        <v>5</v>
      </c>
      <c r="G3" s="9">
        <v>4</v>
      </c>
      <c r="H3" s="9">
        <f t="shared" ref="H3:H10" si="0">D3+E3+F3+G3</f>
        <v>19</v>
      </c>
      <c r="I3" s="2" t="s">
        <v>274</v>
      </c>
      <c r="J3" s="2" t="s">
        <v>399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3">
      <c r="A4" s="2" t="s">
        <v>400</v>
      </c>
      <c r="B4" s="2" t="s">
        <v>401</v>
      </c>
      <c r="C4" s="2" t="s">
        <v>402</v>
      </c>
      <c r="D4" s="9">
        <v>5</v>
      </c>
      <c r="E4" s="9">
        <v>5</v>
      </c>
      <c r="F4" s="9">
        <v>4</v>
      </c>
      <c r="G4" s="9">
        <v>4</v>
      </c>
      <c r="H4" s="9">
        <f t="shared" si="0"/>
        <v>18</v>
      </c>
      <c r="I4" s="2" t="s">
        <v>274</v>
      </c>
      <c r="J4" s="2" t="s">
        <v>403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2" t="s">
        <v>404</v>
      </c>
      <c r="B5" s="2" t="s">
        <v>405</v>
      </c>
      <c r="C5" s="2" t="s">
        <v>406</v>
      </c>
      <c r="D5" s="9">
        <v>5</v>
      </c>
      <c r="E5" s="9">
        <v>4</v>
      </c>
      <c r="F5" s="9">
        <v>5</v>
      </c>
      <c r="G5" s="9">
        <v>4</v>
      </c>
      <c r="H5" s="9">
        <f t="shared" si="0"/>
        <v>18</v>
      </c>
      <c r="I5" s="2" t="s">
        <v>274</v>
      </c>
      <c r="J5" s="2" t="s">
        <v>407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3">
      <c r="A6" s="2" t="s">
        <v>408</v>
      </c>
      <c r="B6" s="2" t="s">
        <v>409</v>
      </c>
      <c r="C6" s="2" t="s">
        <v>410</v>
      </c>
      <c r="D6" s="9">
        <v>4</v>
      </c>
      <c r="E6" s="9">
        <v>4</v>
      </c>
      <c r="F6" s="9">
        <v>3</v>
      </c>
      <c r="G6" s="9">
        <v>4</v>
      </c>
      <c r="H6" s="9">
        <f t="shared" si="0"/>
        <v>15</v>
      </c>
      <c r="I6" s="2" t="s">
        <v>82</v>
      </c>
      <c r="J6" s="2" t="s">
        <v>411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2" t="s">
        <v>412</v>
      </c>
      <c r="B7" s="2" t="s">
        <v>413</v>
      </c>
      <c r="C7" s="2" t="s">
        <v>414</v>
      </c>
      <c r="D7" s="9">
        <v>3</v>
      </c>
      <c r="E7" s="9">
        <v>4</v>
      </c>
      <c r="F7" s="9">
        <v>2</v>
      </c>
      <c r="G7" s="9">
        <v>4</v>
      </c>
      <c r="H7" s="9">
        <f t="shared" si="0"/>
        <v>13</v>
      </c>
      <c r="I7" s="2" t="s">
        <v>82</v>
      </c>
      <c r="J7" s="2" t="s">
        <v>415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2" t="s">
        <v>416</v>
      </c>
      <c r="B8" s="2" t="s">
        <v>417</v>
      </c>
      <c r="C8" s="2" t="s">
        <v>418</v>
      </c>
      <c r="D8" s="9">
        <v>4</v>
      </c>
      <c r="E8" s="9">
        <v>4</v>
      </c>
      <c r="F8" s="9">
        <v>3</v>
      </c>
      <c r="G8" s="9">
        <v>3</v>
      </c>
      <c r="H8" s="9">
        <f t="shared" si="0"/>
        <v>14</v>
      </c>
      <c r="I8" s="2" t="s">
        <v>82</v>
      </c>
      <c r="J8" s="2" t="s">
        <v>419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3">
      <c r="A9" s="2" t="s">
        <v>420</v>
      </c>
      <c r="B9" s="2" t="s">
        <v>421</v>
      </c>
      <c r="C9" s="2" t="s">
        <v>422</v>
      </c>
      <c r="D9" s="9">
        <v>3</v>
      </c>
      <c r="E9" s="9">
        <v>3</v>
      </c>
      <c r="F9" s="9">
        <v>2</v>
      </c>
      <c r="G9" s="9">
        <v>4</v>
      </c>
      <c r="H9" s="9">
        <f t="shared" si="0"/>
        <v>12</v>
      </c>
      <c r="I9" s="2" t="s">
        <v>76</v>
      </c>
      <c r="J9" s="2" t="s">
        <v>415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2" t="s">
        <v>423</v>
      </c>
      <c r="B10" s="2" t="s">
        <v>424</v>
      </c>
      <c r="C10" s="2" t="s">
        <v>425</v>
      </c>
      <c r="D10" s="9">
        <v>2</v>
      </c>
      <c r="E10" s="9">
        <v>3</v>
      </c>
      <c r="F10" s="9">
        <v>1</v>
      </c>
      <c r="G10" s="9">
        <v>3</v>
      </c>
      <c r="H10" s="9">
        <f t="shared" si="0"/>
        <v>9</v>
      </c>
      <c r="I10" s="2" t="s">
        <v>76</v>
      </c>
      <c r="J10" s="2" t="s">
        <v>426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J1"/>
  </mergeCells>
  <conditionalFormatting sqref="I3:I10">
    <cfRule type="expression" dxfId="4" priority="1">
      <formula>I3="Critical"</formula>
    </cfRule>
    <cfRule type="expression" dxfId="3" priority="2">
      <formula>I3="High"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0"/>
  <sheetViews>
    <sheetView workbookViewId="0"/>
  </sheetViews>
  <sheetFormatPr defaultRowHeight="14"/>
  <cols>
    <col min="1" max="1" width="10" customWidth="1"/>
    <col min="2" max="2" width="18" customWidth="1"/>
    <col min="3" max="3" width="50" customWidth="1"/>
    <col min="4" max="10" width="32" customWidth="1"/>
  </cols>
  <sheetData>
    <row r="1" spans="1:26" ht="17.399999999999999" customHeight="1">
      <c r="A1" s="16" t="s">
        <v>427</v>
      </c>
      <c r="B1" s="16"/>
      <c r="C1" s="16"/>
      <c r="D1" s="16"/>
      <c r="E1" s="16"/>
      <c r="F1" s="16"/>
      <c r="G1" s="16"/>
      <c r="H1" s="16"/>
      <c r="I1" s="16"/>
      <c r="J1" s="16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" t="s">
        <v>355</v>
      </c>
      <c r="B2" s="1" t="s">
        <v>428</v>
      </c>
      <c r="C2" s="1" t="s">
        <v>429</v>
      </c>
      <c r="D2" s="1" t="s">
        <v>430</v>
      </c>
      <c r="E2" s="1" t="s">
        <v>431</v>
      </c>
      <c r="F2" s="1" t="s">
        <v>432</v>
      </c>
      <c r="G2" s="1" t="s">
        <v>394</v>
      </c>
      <c r="H2" s="1" t="s">
        <v>433</v>
      </c>
      <c r="I2" s="1" t="s">
        <v>434</v>
      </c>
      <c r="J2" s="1" t="s">
        <v>435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3">
      <c r="A3" s="2">
        <v>1</v>
      </c>
      <c r="B3" s="2" t="s">
        <v>171</v>
      </c>
      <c r="C3" s="2" t="s">
        <v>436</v>
      </c>
      <c r="D3" s="2" t="s">
        <v>437</v>
      </c>
      <c r="E3" s="2" t="s">
        <v>438</v>
      </c>
      <c r="F3" s="2" t="s">
        <v>439</v>
      </c>
      <c r="G3" s="2" t="s">
        <v>274</v>
      </c>
      <c r="H3" s="2" t="s">
        <v>440</v>
      </c>
      <c r="I3" s="2" t="s">
        <v>441</v>
      </c>
      <c r="J3" s="2" t="s">
        <v>442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3">
      <c r="A4" s="2">
        <v>2</v>
      </c>
      <c r="B4" s="2" t="s">
        <v>205</v>
      </c>
      <c r="C4" s="2" t="s">
        <v>443</v>
      </c>
      <c r="D4" s="2" t="s">
        <v>444</v>
      </c>
      <c r="E4" s="2" t="s">
        <v>445</v>
      </c>
      <c r="F4" s="2" t="s">
        <v>446</v>
      </c>
      <c r="G4" s="2" t="s">
        <v>274</v>
      </c>
      <c r="H4" s="2" t="s">
        <v>447</v>
      </c>
      <c r="I4" s="2" t="s">
        <v>448</v>
      </c>
      <c r="J4" s="2" t="s">
        <v>449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3">
      <c r="A5" s="2">
        <v>3</v>
      </c>
      <c r="B5" s="2" t="s">
        <v>450</v>
      </c>
      <c r="C5" s="2" t="s">
        <v>451</v>
      </c>
      <c r="D5" s="2" t="s">
        <v>452</v>
      </c>
      <c r="E5" s="2" t="s">
        <v>453</v>
      </c>
      <c r="F5" s="2" t="s">
        <v>439</v>
      </c>
      <c r="G5" s="2" t="s">
        <v>274</v>
      </c>
      <c r="H5" s="2" t="s">
        <v>454</v>
      </c>
      <c r="I5" s="2" t="s">
        <v>455</v>
      </c>
      <c r="J5" s="2" t="s">
        <v>456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3">
      <c r="A6" s="2">
        <v>4</v>
      </c>
      <c r="B6" s="2" t="s">
        <v>54</v>
      </c>
      <c r="C6" s="2" t="s">
        <v>457</v>
      </c>
      <c r="D6" s="2" t="s">
        <v>458</v>
      </c>
      <c r="E6" s="2" t="s">
        <v>459</v>
      </c>
      <c r="F6" s="2" t="s">
        <v>460</v>
      </c>
      <c r="G6" s="2" t="s">
        <v>82</v>
      </c>
      <c r="H6" s="2" t="s">
        <v>461</v>
      </c>
      <c r="I6" s="2" t="s">
        <v>462</v>
      </c>
      <c r="J6" s="2" t="s">
        <v>463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3">
      <c r="A7" s="2">
        <v>5</v>
      </c>
      <c r="B7" s="2" t="s">
        <v>464</v>
      </c>
      <c r="C7" s="2" t="s">
        <v>465</v>
      </c>
      <c r="D7" s="2" t="s">
        <v>466</v>
      </c>
      <c r="E7" s="2" t="s">
        <v>467</v>
      </c>
      <c r="F7" s="2" t="s">
        <v>468</v>
      </c>
      <c r="G7" s="2" t="s">
        <v>82</v>
      </c>
      <c r="H7" s="2" t="s">
        <v>469</v>
      </c>
      <c r="I7" s="2" t="s">
        <v>470</v>
      </c>
      <c r="J7" s="2" t="s">
        <v>471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3">
      <c r="A8" s="2">
        <v>6</v>
      </c>
      <c r="B8" s="2" t="s">
        <v>472</v>
      </c>
      <c r="C8" s="2" t="s">
        <v>473</v>
      </c>
      <c r="D8" s="2" t="s">
        <v>474</v>
      </c>
      <c r="E8" s="2" t="s">
        <v>475</v>
      </c>
      <c r="F8" s="2" t="s">
        <v>476</v>
      </c>
      <c r="G8" s="2" t="s">
        <v>76</v>
      </c>
      <c r="H8" s="2" t="s">
        <v>477</v>
      </c>
      <c r="I8" s="2" t="s">
        <v>478</v>
      </c>
      <c r="J8" s="2" t="s">
        <v>479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3">
      <c r="A9" s="2">
        <v>7</v>
      </c>
      <c r="B9" s="2" t="s">
        <v>88</v>
      </c>
      <c r="C9" s="2" t="s">
        <v>480</v>
      </c>
      <c r="D9" s="2" t="s">
        <v>481</v>
      </c>
      <c r="E9" s="2" t="s">
        <v>482</v>
      </c>
      <c r="F9" s="2" t="s">
        <v>483</v>
      </c>
      <c r="G9" s="2" t="s">
        <v>82</v>
      </c>
      <c r="H9" s="2" t="s">
        <v>484</v>
      </c>
      <c r="I9" s="2" t="s">
        <v>292</v>
      </c>
      <c r="J9" s="2" t="s">
        <v>485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2">
        <v>8</v>
      </c>
      <c r="B10" s="2" t="s">
        <v>486</v>
      </c>
      <c r="C10" s="2" t="s">
        <v>487</v>
      </c>
      <c r="D10" s="2" t="s">
        <v>488</v>
      </c>
      <c r="E10" s="2" t="s">
        <v>489</v>
      </c>
      <c r="F10" s="2" t="s">
        <v>490</v>
      </c>
      <c r="G10" s="2" t="s">
        <v>82</v>
      </c>
      <c r="H10" s="2" t="s">
        <v>491</v>
      </c>
      <c r="I10" s="2" t="s">
        <v>492</v>
      </c>
      <c r="J10" s="2" t="s">
        <v>493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2">
        <v>9</v>
      </c>
      <c r="B11" s="2" t="s">
        <v>201</v>
      </c>
      <c r="C11" s="2" t="s">
        <v>494</v>
      </c>
      <c r="D11" s="2" t="s">
        <v>495</v>
      </c>
      <c r="E11" s="2" t="s">
        <v>496</v>
      </c>
      <c r="F11" s="2" t="s">
        <v>497</v>
      </c>
      <c r="G11" s="2" t="s">
        <v>82</v>
      </c>
      <c r="H11" s="2" t="s">
        <v>498</v>
      </c>
      <c r="I11" s="2" t="s">
        <v>499</v>
      </c>
      <c r="J11" s="2" t="s">
        <v>500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3">
      <c r="A12" s="2">
        <v>10</v>
      </c>
      <c r="B12" s="2" t="s">
        <v>501</v>
      </c>
      <c r="C12" s="2" t="s">
        <v>502</v>
      </c>
      <c r="D12" s="2" t="s">
        <v>503</v>
      </c>
      <c r="E12" s="2" t="s">
        <v>504</v>
      </c>
      <c r="F12" s="2" t="s">
        <v>505</v>
      </c>
      <c r="G12" s="2" t="s">
        <v>76</v>
      </c>
      <c r="H12" s="2" t="s">
        <v>506</v>
      </c>
      <c r="I12" s="2" t="s">
        <v>507</v>
      </c>
      <c r="J12" s="2" t="s">
        <v>508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J1"/>
  </mergeCells>
  <conditionalFormatting sqref="G3:G12">
    <cfRule type="expression" dxfId="2" priority="1">
      <formula>G3="Critical"</formula>
    </cfRule>
    <cfRule type="expression" dxfId="1" priority="2">
      <formula>G3="High"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00"/>
  <sheetViews>
    <sheetView workbookViewId="0"/>
  </sheetViews>
  <sheetFormatPr defaultRowHeight="14"/>
  <cols>
    <col min="1" max="1" width="9" customWidth="1"/>
    <col min="2" max="2" width="48" customWidth="1"/>
    <col min="3" max="7" width="42" customWidth="1"/>
    <col min="8" max="8" width="15" customWidth="1"/>
    <col min="9" max="13" width="14" customWidth="1"/>
  </cols>
  <sheetData>
    <row r="1" spans="1:26" ht="17.399999999999999" customHeight="1">
      <c r="A1" s="16" t="s">
        <v>509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8">
      <c r="A2" s="1" t="s">
        <v>355</v>
      </c>
      <c r="B2" s="1" t="s">
        <v>429</v>
      </c>
      <c r="C2" s="1" t="s">
        <v>510</v>
      </c>
      <c r="D2" s="1" t="s">
        <v>353</v>
      </c>
      <c r="E2" s="1" t="s">
        <v>511</v>
      </c>
      <c r="F2" s="1" t="s">
        <v>65</v>
      </c>
      <c r="G2" s="1" t="s">
        <v>512</v>
      </c>
      <c r="H2" s="1" t="s">
        <v>513</v>
      </c>
      <c r="I2" s="1" t="s">
        <v>514</v>
      </c>
      <c r="J2" s="1" t="s">
        <v>515</v>
      </c>
      <c r="K2" s="1" t="s">
        <v>516</v>
      </c>
      <c r="L2" s="1" t="s">
        <v>517</v>
      </c>
      <c r="M2" s="1" t="s">
        <v>518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34.5">
      <c r="A3" s="2">
        <v>1</v>
      </c>
      <c r="B3" s="2" t="s">
        <v>436</v>
      </c>
      <c r="C3" s="2" t="s">
        <v>519</v>
      </c>
      <c r="D3" s="2" t="s">
        <v>520</v>
      </c>
      <c r="E3" s="2" t="s">
        <v>521</v>
      </c>
      <c r="F3" s="2" t="s">
        <v>522</v>
      </c>
      <c r="G3" s="2" t="s">
        <v>523</v>
      </c>
      <c r="H3" s="2" t="s">
        <v>524</v>
      </c>
      <c r="I3" s="3">
        <v>4.5</v>
      </c>
      <c r="J3" s="3">
        <v>4.5</v>
      </c>
      <c r="K3" s="3">
        <v>4</v>
      </c>
      <c r="L3" s="3">
        <v>4</v>
      </c>
      <c r="M3" s="3">
        <v>4.2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3">
      <c r="A4" s="2">
        <v>2</v>
      </c>
      <c r="B4" s="2" t="s">
        <v>443</v>
      </c>
      <c r="C4" s="2" t="s">
        <v>525</v>
      </c>
      <c r="D4" s="2" t="s">
        <v>526</v>
      </c>
      <c r="E4" s="2" t="s">
        <v>527</v>
      </c>
      <c r="F4" s="2" t="s">
        <v>528</v>
      </c>
      <c r="G4" s="2" t="s">
        <v>529</v>
      </c>
      <c r="H4" s="2" t="s">
        <v>530</v>
      </c>
      <c r="I4" s="3">
        <v>4.5</v>
      </c>
      <c r="J4" s="3">
        <v>4.5</v>
      </c>
      <c r="K4" s="3">
        <v>4.5</v>
      </c>
      <c r="L4" s="3">
        <v>4.5</v>
      </c>
      <c r="M4" s="3">
        <v>4.5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3">
      <c r="A5" s="2">
        <v>3</v>
      </c>
      <c r="B5" s="2" t="s">
        <v>451</v>
      </c>
      <c r="C5" s="2" t="s">
        <v>531</v>
      </c>
      <c r="D5" s="2" t="s">
        <v>532</v>
      </c>
      <c r="E5" s="2" t="s">
        <v>533</v>
      </c>
      <c r="F5" s="2" t="s">
        <v>534</v>
      </c>
      <c r="G5" s="2" t="s">
        <v>535</v>
      </c>
      <c r="H5" s="2" t="s">
        <v>524</v>
      </c>
      <c r="I5" s="3">
        <v>5</v>
      </c>
      <c r="J5" s="3">
        <v>4.5</v>
      </c>
      <c r="K5" s="3">
        <v>5</v>
      </c>
      <c r="L5" s="3">
        <v>5</v>
      </c>
      <c r="M5" s="3">
        <v>4.9000000000000004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3">
      <c r="A6" s="2">
        <v>4</v>
      </c>
      <c r="B6" s="2" t="s">
        <v>457</v>
      </c>
      <c r="C6" s="2" t="s">
        <v>536</v>
      </c>
      <c r="D6" s="2" t="s">
        <v>537</v>
      </c>
      <c r="E6" s="2" t="s">
        <v>538</v>
      </c>
      <c r="F6" s="2" t="s">
        <v>200</v>
      </c>
      <c r="G6" s="2" t="s">
        <v>539</v>
      </c>
      <c r="H6" s="2" t="s">
        <v>524</v>
      </c>
      <c r="I6" s="3">
        <v>4.5</v>
      </c>
      <c r="J6" s="3">
        <v>4</v>
      </c>
      <c r="K6" s="3">
        <v>4.5</v>
      </c>
      <c r="L6" s="3">
        <v>4.5</v>
      </c>
      <c r="M6" s="3">
        <v>4.4000000000000004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34.5">
      <c r="A7" s="2">
        <v>5</v>
      </c>
      <c r="B7" s="2" t="s">
        <v>465</v>
      </c>
      <c r="C7" s="2" t="s">
        <v>540</v>
      </c>
      <c r="D7" s="2" t="s">
        <v>541</v>
      </c>
      <c r="E7" s="2" t="s">
        <v>542</v>
      </c>
      <c r="F7" s="2" t="s">
        <v>543</v>
      </c>
      <c r="G7" s="2" t="s">
        <v>544</v>
      </c>
      <c r="H7" s="2" t="s">
        <v>524</v>
      </c>
      <c r="I7" s="3">
        <v>4.5</v>
      </c>
      <c r="J7" s="3">
        <v>4.5</v>
      </c>
      <c r="K7" s="3">
        <v>5</v>
      </c>
      <c r="L7" s="3">
        <v>4.5</v>
      </c>
      <c r="M7" s="3">
        <v>4.5999999999999996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M1"/>
  </mergeCells>
  <conditionalFormatting sqref="H3:H7">
    <cfRule type="expression" dxfId="0" priority="1">
      <formula>H3="Yes"</formula>
    </cfRule>
  </conditionalFormatting>
  <conditionalFormatting sqref="M3:M7">
    <cfRule type="colorScale" priority="2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00"/>
  <sheetViews>
    <sheetView workbookViewId="0"/>
  </sheetViews>
  <sheetFormatPr defaultRowHeight="14"/>
  <cols>
    <col min="1" max="1" width="10" customWidth="1"/>
    <col min="2" max="2" width="24" customWidth="1"/>
    <col min="3" max="3" width="50" customWidth="1"/>
    <col min="4" max="4" width="34" customWidth="1"/>
    <col min="5" max="7" width="18" customWidth="1"/>
    <col min="8" max="9" width="36" customWidth="1"/>
  </cols>
  <sheetData>
    <row r="1" spans="1:26" ht="17.399999999999999" customHeight="1">
      <c r="A1" s="16" t="s">
        <v>545</v>
      </c>
      <c r="B1" s="16"/>
      <c r="C1" s="16"/>
      <c r="D1" s="16"/>
      <c r="E1" s="16"/>
      <c r="F1" s="16"/>
      <c r="G1" s="16"/>
      <c r="H1" s="16"/>
      <c r="I1" s="16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" t="s">
        <v>355</v>
      </c>
      <c r="B2" s="1" t="s">
        <v>546</v>
      </c>
      <c r="C2" s="1" t="s">
        <v>547</v>
      </c>
      <c r="D2" s="1" t="s">
        <v>548</v>
      </c>
      <c r="E2" s="1" t="s">
        <v>307</v>
      </c>
      <c r="F2" s="1" t="s">
        <v>549</v>
      </c>
      <c r="G2" s="1" t="s">
        <v>550</v>
      </c>
      <c r="H2" s="1" t="s">
        <v>551</v>
      </c>
      <c r="I2" s="1" t="s">
        <v>552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3">
      <c r="A3" s="2">
        <v>1</v>
      </c>
      <c r="B3" s="2" t="s">
        <v>553</v>
      </c>
      <c r="C3" s="2" t="s">
        <v>554</v>
      </c>
      <c r="D3" s="2" t="s">
        <v>555</v>
      </c>
      <c r="E3" s="2" t="s">
        <v>232</v>
      </c>
      <c r="F3" s="2" t="s">
        <v>556</v>
      </c>
      <c r="G3" s="2" t="s">
        <v>557</v>
      </c>
      <c r="H3" s="2" t="s">
        <v>558</v>
      </c>
      <c r="I3" s="2" t="s">
        <v>559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3">
      <c r="A4" s="2">
        <v>2</v>
      </c>
      <c r="B4" s="2" t="s">
        <v>311</v>
      </c>
      <c r="C4" s="2" t="s">
        <v>560</v>
      </c>
      <c r="D4" s="2" t="s">
        <v>561</v>
      </c>
      <c r="E4" s="2" t="s">
        <v>232</v>
      </c>
      <c r="F4" s="2" t="s">
        <v>556</v>
      </c>
      <c r="G4" s="2" t="s">
        <v>557</v>
      </c>
      <c r="H4" s="2" t="s">
        <v>562</v>
      </c>
      <c r="I4" s="2" t="s">
        <v>563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>
      <c r="A5" s="2">
        <v>3</v>
      </c>
      <c r="B5" s="2" t="s">
        <v>564</v>
      </c>
      <c r="C5" s="2" t="s">
        <v>565</v>
      </c>
      <c r="D5" s="2" t="s">
        <v>566</v>
      </c>
      <c r="E5" s="2" t="s">
        <v>227</v>
      </c>
      <c r="F5" s="2" t="s">
        <v>567</v>
      </c>
      <c r="G5" s="2" t="s">
        <v>557</v>
      </c>
      <c r="H5" s="2" t="s">
        <v>568</v>
      </c>
      <c r="I5" s="2" t="s">
        <v>569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3">
      <c r="A6" s="2">
        <v>4</v>
      </c>
      <c r="B6" s="2" t="s">
        <v>78</v>
      </c>
      <c r="C6" s="2" t="s">
        <v>570</v>
      </c>
      <c r="D6" s="2" t="s">
        <v>571</v>
      </c>
      <c r="E6" s="2" t="s">
        <v>572</v>
      </c>
      <c r="F6" s="2" t="s">
        <v>556</v>
      </c>
      <c r="G6" s="2" t="s">
        <v>573</v>
      </c>
      <c r="H6" s="2" t="s">
        <v>574</v>
      </c>
      <c r="I6" s="2" t="s">
        <v>575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2">
        <v>5</v>
      </c>
      <c r="B7" s="2" t="s">
        <v>88</v>
      </c>
      <c r="C7" s="2" t="s">
        <v>576</v>
      </c>
      <c r="D7" s="2" t="s">
        <v>577</v>
      </c>
      <c r="E7" s="2" t="s">
        <v>572</v>
      </c>
      <c r="F7" s="2" t="s">
        <v>556</v>
      </c>
      <c r="G7" s="2" t="s">
        <v>578</v>
      </c>
      <c r="H7" s="2" t="s">
        <v>579</v>
      </c>
      <c r="I7" s="2" t="s">
        <v>580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3">
      <c r="A8" s="2">
        <v>6</v>
      </c>
      <c r="B8" s="2" t="s">
        <v>581</v>
      </c>
      <c r="C8" s="2" t="s">
        <v>582</v>
      </c>
      <c r="D8" s="2" t="s">
        <v>583</v>
      </c>
      <c r="E8" s="2" t="s">
        <v>232</v>
      </c>
      <c r="F8" s="2" t="s">
        <v>567</v>
      </c>
      <c r="G8" s="2" t="s">
        <v>578</v>
      </c>
      <c r="H8" s="2" t="s">
        <v>584</v>
      </c>
      <c r="I8" s="2" t="s">
        <v>585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00"/>
  <sheetViews>
    <sheetView workbookViewId="0"/>
  </sheetViews>
  <sheetFormatPr defaultRowHeight="14"/>
  <cols>
    <col min="1" max="1" width="12" customWidth="1"/>
    <col min="2" max="2" width="20" customWidth="1"/>
    <col min="3" max="4" width="16" customWidth="1"/>
    <col min="5" max="5" width="52" customWidth="1"/>
    <col min="6" max="7" width="32" customWidth="1"/>
  </cols>
  <sheetData>
    <row r="1" spans="1:26" ht="17.399999999999999" customHeight="1">
      <c r="A1" s="16" t="s">
        <v>586</v>
      </c>
      <c r="B1" s="16"/>
      <c r="C1" s="16"/>
      <c r="D1" s="16"/>
      <c r="E1" s="16"/>
      <c r="F1" s="16"/>
      <c r="G1" s="16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" t="s">
        <v>587</v>
      </c>
      <c r="B2" s="1" t="s">
        <v>588</v>
      </c>
      <c r="C2" s="1" t="s">
        <v>53</v>
      </c>
      <c r="D2" s="1" t="s">
        <v>589</v>
      </c>
      <c r="E2" s="1" t="s">
        <v>590</v>
      </c>
      <c r="F2" s="1" t="s">
        <v>591</v>
      </c>
      <c r="G2" s="1" t="s">
        <v>592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>
      <c r="A3" s="2" t="s">
        <v>593</v>
      </c>
      <c r="B3" s="2" t="s">
        <v>594</v>
      </c>
      <c r="C3" s="2" t="s">
        <v>3</v>
      </c>
      <c r="D3" s="2" t="s">
        <v>361</v>
      </c>
      <c r="E3" s="2" t="s">
        <v>595</v>
      </c>
      <c r="F3" s="2" t="s">
        <v>596</v>
      </c>
      <c r="G3" s="2" t="s">
        <v>597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>
      <c r="A4" s="2" t="s">
        <v>598</v>
      </c>
      <c r="B4" s="2" t="s">
        <v>594</v>
      </c>
      <c r="C4" s="2" t="s">
        <v>3</v>
      </c>
      <c r="D4" s="2" t="s">
        <v>361</v>
      </c>
      <c r="E4" s="2" t="s">
        <v>599</v>
      </c>
      <c r="F4" s="2" t="s">
        <v>600</v>
      </c>
      <c r="G4" s="2" t="s">
        <v>601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3">
      <c r="A5" s="2" t="s">
        <v>602</v>
      </c>
      <c r="B5" s="2" t="s">
        <v>603</v>
      </c>
      <c r="C5" s="2" t="s">
        <v>3</v>
      </c>
      <c r="D5" s="2" t="s">
        <v>166</v>
      </c>
      <c r="E5" s="2" t="s">
        <v>604</v>
      </c>
      <c r="F5" s="2" t="s">
        <v>596</v>
      </c>
      <c r="G5" s="2" t="s">
        <v>605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3">
      <c r="A6" s="2" t="s">
        <v>606</v>
      </c>
      <c r="B6" s="2" t="s">
        <v>607</v>
      </c>
      <c r="C6" s="2" t="s">
        <v>3</v>
      </c>
      <c r="D6" s="2" t="s">
        <v>166</v>
      </c>
      <c r="E6" s="2" t="s">
        <v>608</v>
      </c>
      <c r="F6" s="2" t="s">
        <v>596</v>
      </c>
      <c r="G6" s="2" t="s">
        <v>609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2" t="s">
        <v>610</v>
      </c>
      <c r="B7" s="2" t="s">
        <v>611</v>
      </c>
      <c r="C7" s="2" t="s">
        <v>3</v>
      </c>
      <c r="D7" s="2" t="s">
        <v>361</v>
      </c>
      <c r="E7" s="2" t="s">
        <v>612</v>
      </c>
      <c r="F7" s="2" t="s">
        <v>613</v>
      </c>
      <c r="G7" s="2" t="s">
        <v>614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2" t="s">
        <v>615</v>
      </c>
      <c r="B8" s="2" t="s">
        <v>243</v>
      </c>
      <c r="C8" s="2" t="s">
        <v>3</v>
      </c>
      <c r="D8" s="2" t="s">
        <v>616</v>
      </c>
      <c r="E8" s="2" t="s">
        <v>496</v>
      </c>
      <c r="F8" s="2" t="s">
        <v>613</v>
      </c>
      <c r="G8" s="2" t="s">
        <v>617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2" t="s">
        <v>618</v>
      </c>
      <c r="B9" s="2" t="s">
        <v>619</v>
      </c>
      <c r="C9" s="2" t="s">
        <v>22</v>
      </c>
      <c r="D9" s="2" t="s">
        <v>620</v>
      </c>
      <c r="E9" s="2" t="s">
        <v>621</v>
      </c>
      <c r="F9" s="2" t="s">
        <v>622</v>
      </c>
      <c r="G9" s="2" t="s">
        <v>623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>
      <c r="A10" s="2" t="s">
        <v>624</v>
      </c>
      <c r="B10" s="2" t="s">
        <v>625</v>
      </c>
      <c r="C10" s="2" t="s">
        <v>3</v>
      </c>
      <c r="D10" s="2" t="s">
        <v>415</v>
      </c>
      <c r="E10" s="2" t="s">
        <v>626</v>
      </c>
      <c r="F10" s="2" t="s">
        <v>627</v>
      </c>
      <c r="G10" s="2" t="s">
        <v>628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>
      <c r="A11" s="2" t="s">
        <v>629</v>
      </c>
      <c r="B11" s="2" t="s">
        <v>625</v>
      </c>
      <c r="C11" s="2" t="s">
        <v>3</v>
      </c>
      <c r="D11" s="2" t="s">
        <v>415</v>
      </c>
      <c r="E11" s="2" t="s">
        <v>630</v>
      </c>
      <c r="F11" s="2" t="s">
        <v>631</v>
      </c>
      <c r="G11" s="2" t="s">
        <v>632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2" t="s">
        <v>633</v>
      </c>
      <c r="B12" s="2" t="s">
        <v>634</v>
      </c>
      <c r="C12" s="2" t="s">
        <v>3</v>
      </c>
      <c r="D12" s="2" t="s">
        <v>361</v>
      </c>
      <c r="E12" s="2" t="s">
        <v>504</v>
      </c>
      <c r="F12" s="2" t="s">
        <v>635</v>
      </c>
      <c r="G12" s="2" t="s">
        <v>636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200"/>
  <sheetViews>
    <sheetView workbookViewId="0"/>
  </sheetViews>
  <sheetFormatPr defaultRowHeight="14"/>
  <cols>
    <col min="1" max="1" width="30" customWidth="1"/>
    <col min="2" max="2" width="58" customWidth="1"/>
    <col min="3" max="3" width="32" customWidth="1"/>
    <col min="4" max="4" width="14" customWidth="1"/>
  </cols>
  <sheetData>
    <row r="1" spans="1:26" ht="17.399999999999999" customHeight="1">
      <c r="A1" s="16" t="s">
        <v>637</v>
      </c>
      <c r="B1" s="16"/>
      <c r="C1" s="16"/>
      <c r="D1" s="16"/>
      <c r="E1" s="16"/>
      <c r="F1" s="16"/>
      <c r="G1" s="16"/>
      <c r="H1" s="16"/>
      <c r="I1" s="16"/>
      <c r="J1" s="16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6">
      <c r="A3" s="13" t="s">
        <v>2</v>
      </c>
      <c r="B3" s="14" t="s">
        <v>3</v>
      </c>
      <c r="C3" s="14"/>
      <c r="D3" s="13" t="s">
        <v>27</v>
      </c>
      <c r="E3" s="14" t="s">
        <v>638</v>
      </c>
      <c r="F3" s="14" t="s">
        <v>639</v>
      </c>
      <c r="G3" s="14"/>
      <c r="H3" s="13" t="s">
        <v>32</v>
      </c>
      <c r="I3" s="14" t="s">
        <v>106</v>
      </c>
      <c r="J3" s="14" t="s">
        <v>335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6">
      <c r="A4" s="13" t="s">
        <v>35</v>
      </c>
      <c r="B4" s="14" t="s">
        <v>114</v>
      </c>
      <c r="C4" s="14"/>
      <c r="D4" s="13" t="s">
        <v>640</v>
      </c>
      <c r="E4" s="14">
        <v>3</v>
      </c>
      <c r="F4" s="14"/>
      <c r="G4" s="14"/>
      <c r="H4" s="13" t="s">
        <v>641</v>
      </c>
      <c r="I4" s="14">
        <v>62</v>
      </c>
      <c r="J4" s="14" t="s">
        <v>642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50">
      <c r="A5" s="13" t="s">
        <v>643</v>
      </c>
      <c r="B5" s="14" t="s">
        <v>644</v>
      </c>
      <c r="C5" s="14"/>
      <c r="D5" s="13" t="s">
        <v>645</v>
      </c>
      <c r="E5" s="14" t="s">
        <v>646</v>
      </c>
      <c r="F5" s="14"/>
      <c r="G5" s="14"/>
      <c r="H5" s="13" t="s">
        <v>647</v>
      </c>
      <c r="I5" s="14">
        <v>4.2</v>
      </c>
      <c r="J5" s="14" t="s">
        <v>648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50">
      <c r="A6" s="13" t="s">
        <v>649</v>
      </c>
      <c r="B6" s="14" t="s">
        <v>78</v>
      </c>
      <c r="C6" s="14"/>
      <c r="D6" s="13" t="s">
        <v>650</v>
      </c>
      <c r="E6" s="14" t="s">
        <v>651</v>
      </c>
      <c r="F6" s="14"/>
      <c r="G6" s="14"/>
      <c r="H6" s="13" t="s">
        <v>652</v>
      </c>
      <c r="I6" s="14" t="s">
        <v>653</v>
      </c>
      <c r="J6" s="15" t="s">
        <v>654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>
      <c r="A7" s="13" t="s">
        <v>655</v>
      </c>
      <c r="B7" s="14" t="s">
        <v>656</v>
      </c>
      <c r="C7" s="14"/>
      <c r="D7" s="13"/>
      <c r="E7" s="14"/>
      <c r="F7" s="14"/>
      <c r="G7" s="14"/>
      <c r="H7" s="13"/>
      <c r="I7" s="14"/>
      <c r="J7" s="14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>
      <c r="A9" s="17" t="s">
        <v>657</v>
      </c>
      <c r="B9" s="17"/>
      <c r="C9" s="17"/>
      <c r="D9" s="17"/>
      <c r="E9" s="17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8.649999999999999" customHeight="1">
      <c r="A10" s="2" t="s">
        <v>658</v>
      </c>
      <c r="B10" s="2" t="s">
        <v>659</v>
      </c>
      <c r="C10" s="2" t="s">
        <v>660</v>
      </c>
      <c r="D10" s="2" t="s">
        <v>274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8.649999999999999" customHeight="1">
      <c r="A11" s="2" t="s">
        <v>661</v>
      </c>
      <c r="B11" s="2" t="s">
        <v>662</v>
      </c>
      <c r="C11" s="2" t="s">
        <v>663</v>
      </c>
      <c r="D11" s="2" t="s">
        <v>274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8.649999999999999" customHeight="1">
      <c r="A12" s="2" t="s">
        <v>664</v>
      </c>
      <c r="B12" s="2" t="s">
        <v>665</v>
      </c>
      <c r="C12" s="2" t="s">
        <v>666</v>
      </c>
      <c r="D12" s="2" t="s">
        <v>274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8.649999999999999" customHeight="1">
      <c r="A13" s="2" t="s">
        <v>667</v>
      </c>
      <c r="B13" s="2" t="s">
        <v>668</v>
      </c>
      <c r="C13" s="2" t="s">
        <v>669</v>
      </c>
      <c r="D13" s="2" t="s">
        <v>82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8.649999999999999" customHeight="1">
      <c r="A14" s="2" t="s">
        <v>670</v>
      </c>
      <c r="B14" s="2" t="s">
        <v>671</v>
      </c>
      <c r="C14" s="2" t="s">
        <v>672</v>
      </c>
      <c r="D14" s="2" t="s">
        <v>82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</sheetData>
  <mergeCells count="2">
    <mergeCell ref="A1:J1"/>
    <mergeCell ref="A9:E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 Me</vt:lpstr>
      <vt:lpstr>Quarterly Financials</vt:lpstr>
      <vt:lpstr>Segment Data</vt:lpstr>
      <vt:lpstr>Management Commitments</vt:lpstr>
      <vt:lpstr>Management Commentary</vt:lpstr>
      <vt:lpstr>Prior Earnings Call</vt:lpstr>
      <vt:lpstr>Analyst Expectations</vt:lpstr>
      <vt:lpstr>Operational KPIs</vt:lpstr>
      <vt:lpstr>Cash Flow Bridge</vt:lpstr>
      <vt:lpstr>Investor Risk Map</vt:lpstr>
      <vt:lpstr>Investor Questions</vt:lpstr>
      <vt:lpstr>Response Review</vt:lpstr>
      <vt:lpstr>Leadership Preparation</vt:lpstr>
      <vt:lpstr>Disclosure Evidence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PANDEY - 80662500072</cp:lastModifiedBy>
  <dcterms:modified xsi:type="dcterms:W3CDTF">2026-10-04T09:02:16Z</dcterms:modified>
</cp:coreProperties>
</file>