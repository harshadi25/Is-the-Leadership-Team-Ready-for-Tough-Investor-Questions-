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indows\Desktop\NMIMS\Trim 4\Illuminati\Investor_Readiness_Scoring\"/>
    </mc:Choice>
  </mc:AlternateContent>
  <xr:revisionPtr revIDLastSave="0" documentId="13_ncr:1_{CACC2797-FDF6-4532-9939-F8EDC589F2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d Me" sheetId="1" r:id="rId1"/>
    <sheet name="Quarterly Financials" sheetId="2" r:id="rId2"/>
    <sheet name="Segment Data" sheetId="3" r:id="rId3"/>
    <sheet name="Management Commitments" sheetId="4" r:id="rId4"/>
    <sheet name="Management Commentary" sheetId="5" r:id="rId5"/>
    <sheet name="Investor Risk Map" sheetId="6" r:id="rId6"/>
    <sheet name="Investor Questions" sheetId="7" r:id="rId7"/>
    <sheet name="Response Review" sheetId="8" r:id="rId8"/>
    <sheet name="Leadership Preparation" sheetId="9" r:id="rId9"/>
    <sheet name="Dashboard" sheetId="10" r:id="rId10"/>
  </sheets>
  <calcPr calcId="191029"/>
</workbook>
</file>

<file path=xl/calcChain.xml><?xml version="1.0" encoding="utf-8"?>
<calcChain xmlns="http://schemas.openxmlformats.org/spreadsheetml/2006/main">
  <c r="K5" i="10" l="1"/>
  <c r="I5" i="10"/>
  <c r="G5" i="10"/>
  <c r="E5" i="10"/>
  <c r="C5" i="10"/>
  <c r="A5" i="10"/>
  <c r="Q8" i="8"/>
  <c r="P8" i="8"/>
  <c r="Q7" i="8"/>
  <c r="P7" i="8"/>
  <c r="Q6" i="8"/>
  <c r="P6" i="8"/>
  <c r="Q5" i="8"/>
  <c r="P5" i="8"/>
  <c r="Q4" i="8"/>
  <c r="P4" i="8"/>
  <c r="I10" i="6"/>
  <c r="H10" i="6"/>
  <c r="I9" i="6"/>
  <c r="H9" i="6"/>
  <c r="I8" i="6"/>
  <c r="H8" i="6"/>
  <c r="H7" i="6"/>
  <c r="I7" i="6" s="1"/>
  <c r="I6" i="6"/>
  <c r="H6" i="6"/>
  <c r="I5" i="6"/>
  <c r="H5" i="6"/>
  <c r="I4" i="6"/>
  <c r="H4" i="6"/>
  <c r="G5" i="4"/>
  <c r="F5" i="4"/>
  <c r="E5" i="4"/>
  <c r="J8" i="3"/>
  <c r="F8" i="3"/>
  <c r="H8" i="3" s="1"/>
  <c r="E8" i="3"/>
  <c r="D8" i="3"/>
  <c r="C8" i="3"/>
  <c r="G8" i="3" s="1"/>
  <c r="B8" i="3"/>
  <c r="J7" i="3"/>
  <c r="G7" i="3"/>
  <c r="F7" i="3"/>
  <c r="H7" i="3" s="1"/>
  <c r="J6" i="3"/>
  <c r="G6" i="3"/>
  <c r="F6" i="3"/>
  <c r="H6" i="3" s="1"/>
  <c r="J5" i="3"/>
  <c r="G5" i="3"/>
  <c r="F5" i="3"/>
  <c r="E6" i="4" s="1"/>
  <c r="J4" i="3"/>
  <c r="G4" i="3"/>
  <c r="F4" i="3"/>
  <c r="H4" i="3" s="1"/>
  <c r="E16" i="2"/>
  <c r="D16" i="2"/>
  <c r="F16" i="2" s="1"/>
  <c r="C16" i="2"/>
  <c r="B16" i="2"/>
  <c r="E15" i="2"/>
  <c r="F15" i="2" s="1"/>
  <c r="D15" i="2"/>
  <c r="C15" i="2"/>
  <c r="B15" i="2"/>
  <c r="F14" i="2"/>
  <c r="F13" i="2"/>
  <c r="F12" i="2"/>
  <c r="G7" i="2"/>
  <c r="F7" i="2"/>
  <c r="E6" i="2"/>
  <c r="E4" i="4" s="1"/>
  <c r="D6" i="2"/>
  <c r="F6" i="2" s="1"/>
  <c r="C6" i="2"/>
  <c r="B6" i="2"/>
  <c r="G6" i="2" s="1"/>
  <c r="G5" i="2"/>
  <c r="F5" i="2"/>
  <c r="G4" i="2"/>
  <c r="F4" i="2"/>
  <c r="E7" i="4" s="1"/>
  <c r="F4" i="4" l="1"/>
  <c r="G4" i="4"/>
  <c r="G7" i="4"/>
  <c r="F7" i="4"/>
  <c r="G6" i="4"/>
  <c r="F6" i="4"/>
  <c r="H5" i="3"/>
</calcChain>
</file>

<file path=xl/sharedStrings.xml><?xml version="1.0" encoding="utf-8"?>
<sst xmlns="http://schemas.openxmlformats.org/spreadsheetml/2006/main" count="413" uniqueCount="336">
  <si>
    <t>Investor Readiness Engine — Synthetic Data Workbook</t>
  </si>
  <si>
    <t>Purpose</t>
  </si>
  <si>
    <t>Synthetic workbook for the earnings-call readiness prototype.</t>
  </si>
  <si>
    <t>Latest quarter</t>
  </si>
  <si>
    <t>Q2 FY25</t>
  </si>
  <si>
    <t>Data type</t>
  </si>
  <si>
    <t>Fully synthetic; created for examination/demo purposes.</t>
  </si>
  <si>
    <t>Core scenario</t>
  </si>
  <si>
    <t>Revenue grows strongly; operating margin falls; cash flow weakens; segment performance diverges; prior commitments are tested.</t>
  </si>
  <si>
    <t>Key assumption</t>
  </si>
  <si>
    <t>Segment revenue is shown before group-level inter-segment eliminations; consolidated revenue is the primary company-level metric.</t>
  </si>
  <si>
    <t>Key Synthetic Assumptions</t>
  </si>
  <si>
    <t>Assumption</t>
  </si>
  <si>
    <t>Detail</t>
  </si>
  <si>
    <t>Currency</t>
  </si>
  <si>
    <t>₹ crore</t>
  </si>
  <si>
    <t>Consolidated revenue</t>
  </si>
  <si>
    <t>Primary company-level revenue metric.</t>
  </si>
  <si>
    <t>Segment revenue</t>
  </si>
  <si>
    <t>Pre-elimination segment revenue; Q1 FY25 contains ₹34 Cr of group-level eliminations to reconcile to consolidated revenue.</t>
  </si>
  <si>
    <t>Management commentary</t>
  </si>
  <si>
    <t>Synthetic statements designed to explain the case signals.</t>
  </si>
  <si>
    <t>Historical guidance</t>
  </si>
  <si>
    <t>Synthetic commitments designed to create measurable guidance gaps.</t>
  </si>
  <si>
    <t>Quarterly Financial Results</t>
  </si>
  <si>
    <t>Metric</t>
  </si>
  <si>
    <t>Q3 FY24</t>
  </si>
  <si>
    <t>Q4 FY24</t>
  </si>
  <si>
    <t>Q1 FY25</t>
  </si>
  <si>
    <t>QoQ Change</t>
  </si>
  <si>
    <t>Change vs Q3 FY24</t>
  </si>
  <si>
    <t>Source / Assumption</t>
  </si>
  <si>
    <t>Units</t>
  </si>
  <si>
    <t>Type</t>
  </si>
  <si>
    <t>Latest-quarter interpretation</t>
  </si>
  <si>
    <t>Revenue</t>
  </si>
  <si>
    <t>Synthetic case assumption</t>
  </si>
  <si>
    <t>₹ Cr</t>
  </si>
  <si>
    <t>Input</t>
  </si>
  <si>
    <t>Strong growth</t>
  </si>
  <si>
    <t>Operating Profit</t>
  </si>
  <si>
    <t>Profit declines despite revenue growth</t>
  </si>
  <si>
    <t>Operating Margin</t>
  </si>
  <si>
    <t>Calculated from Revenue and Operating Profit</t>
  </si>
  <si>
    <t>%</t>
  </si>
  <si>
    <t>Formula</t>
  </si>
  <si>
    <t>Material margin compression</t>
  </si>
  <si>
    <t>Operating Cash Flow</t>
  </si>
  <si>
    <t>Cash generation weakened</t>
  </si>
  <si>
    <t>Supporting Financial Metrics</t>
  </si>
  <si>
    <t>Interpretation</t>
  </si>
  <si>
    <t>Capital Expenditure</t>
  </si>
  <si>
    <t>Investment increased</t>
  </si>
  <si>
    <t>Receivables</t>
  </si>
  <si>
    <t>Receivables increased materially</t>
  </si>
  <si>
    <t>Inventory</t>
  </si>
  <si>
    <t>Inventory increased</t>
  </si>
  <si>
    <t>Working Capital Proxy</t>
  </si>
  <si>
    <t>Receivables + Inventory; illustrative proxy</t>
  </si>
  <si>
    <t>Working-capital absorption increased</t>
  </si>
  <si>
    <t>Free Cash Flow</t>
  </si>
  <si>
    <t>Operating Cash Flow - Capital Expenditure</t>
  </si>
  <si>
    <t>Negative in latest quarter</t>
  </si>
  <si>
    <t>Comparison note: Q2 FY25 operating cash flow is ₹110 Cr versus ₹180 Cr in Q4 FY24, a 38.9% decline across that comparison window. Quarter-on-quarter from Q1 FY25 to Q2 FY25, the decline is 26.7%. The prototype should always label the comparison period.</t>
  </si>
  <si>
    <t>Segment Performance Analysis</t>
  </si>
  <si>
    <t>Segment</t>
  </si>
  <si>
    <t>Q3 FY24 Revenue</t>
  </si>
  <si>
    <t>Q4 FY24 Revenue</t>
  </si>
  <si>
    <t>Q1 FY25 Revenue</t>
  </si>
  <si>
    <t>Q2 FY25 Revenue</t>
  </si>
  <si>
    <t>Q2 QoQ Growth</t>
  </si>
  <si>
    <t>Previous Growth</t>
  </si>
  <si>
    <t>Growth Change</t>
  </si>
  <si>
    <t>Q2 Margin</t>
  </si>
  <si>
    <t>Revenue Contribution</t>
  </si>
  <si>
    <t>Trend</t>
  </si>
  <si>
    <t>Investor Concern</t>
  </si>
  <si>
    <t>Enterprise Solutions</t>
  </si>
  <si>
    <t>Strong</t>
  </si>
  <si>
    <t>Acceleration supports overall growth</t>
  </si>
  <si>
    <t>Consumer Technology</t>
  </si>
  <si>
    <t>Slowing</t>
  </si>
  <si>
    <t>Growth slowed materially from prior quarter</t>
  </si>
  <si>
    <t>Digital Services</t>
  </si>
  <si>
    <t>Weak</t>
  </si>
  <si>
    <t>Growth remains low relative to the portfolio</t>
  </si>
  <si>
    <t>Other / Inter-segment eliminations</t>
  </si>
  <si>
    <t>Neutral</t>
  </si>
  <si>
    <t>Used to reconcile gross segment presentation to consolidated revenue</t>
  </si>
  <si>
    <t>Total / Reconciliation</t>
  </si>
  <si>
    <t>Reference</t>
  </si>
  <si>
    <t>Consolidated revenue remains the primary company-level metric</t>
  </si>
  <si>
    <t>Management Commitments vs Actuals</t>
  </si>
  <si>
    <t>Quarter</t>
  </si>
  <si>
    <t>Management Statement</t>
  </si>
  <si>
    <t>Expected Value</t>
  </si>
  <si>
    <t>Actual Q2 FY25</t>
  </si>
  <si>
    <t>Gap</t>
  </si>
  <si>
    <t>Status</t>
  </si>
  <si>
    <t>Supporting Evidence</t>
  </si>
  <si>
    <t>Investor Implication</t>
  </si>
  <si>
    <t>We expect operating margin to remain above 20% over the coming quarters.</t>
  </si>
  <si>
    <t>&gt;20%</t>
  </si>
  <si>
    <t>Q2 FY25 actual margin is 18%.</t>
  </si>
  <si>
    <t>Synthetic previous earnings-call statement</t>
  </si>
  <si>
    <t>Credibility and profitability question</t>
  </si>
  <si>
    <t>We expect operating cash-flow conversion to improve as working-capital normalization progresses.</t>
  </si>
  <si>
    <t>Improve</t>
  </si>
  <si>
    <t>Q2 FY25 operating cash flow is ₹110 Cr versus ₹180 Cr in Q4 FY24.</t>
  </si>
  <si>
    <t>Cash conversion concern</t>
  </si>
  <si>
    <t>We expect Consumer Technology growth to remain in the low double digits.</t>
  </si>
  <si>
    <t>Segment Growth</t>
  </si>
  <si>
    <t>10%–15%</t>
  </si>
  <si>
    <t>Q2 FY25 growth is approximately 7.1%.</t>
  </si>
  <si>
    <t>Demand / segment slowdown concern</t>
  </si>
  <si>
    <t>We expect overall revenue growth to remain in the mid-teens.</t>
  </si>
  <si>
    <t>Revenue Growth</t>
  </si>
  <si>
    <t>13%–17%</t>
  </si>
  <si>
    <t>Q2 FY25 revenue growth is 15.0% quarter-on-quarter.</t>
  </si>
  <si>
    <t>Commitment met</t>
  </si>
  <si>
    <t>Synthetic Q2 FY25 Management Commentary</t>
  </si>
  <si>
    <t>Theme</t>
  </si>
  <si>
    <t>Synthetic Management Commentary</t>
  </si>
  <si>
    <t>Evidence / Metric</t>
  </si>
  <si>
    <t>Investor Relevance</t>
  </si>
  <si>
    <t>Higher input costs</t>
  </si>
  <si>
    <t>Input and supplier costs increased during the quarter, putting pressure on operating profitability.</t>
  </si>
  <si>
    <t>~8% increase in input / supplier costs</t>
  </si>
  <si>
    <t>Explains part of margin compression</t>
  </si>
  <si>
    <t>Unfavourable product mix</t>
  </si>
  <si>
    <t>Revenue growth was concentrated in lower-margin offerings, reducing the benefit of topline growth on profitability.</t>
  </si>
  <si>
    <t>Operating margin fell to 18%</t>
  </si>
  <si>
    <t>Raises earnings-quality concern</t>
  </si>
  <si>
    <t>Consumer Technology slowdown</t>
  </si>
  <si>
    <t>Demand softened in selected consumer categories, resulting in slower growth in Consumer Technology.</t>
  </si>
  <si>
    <t>Segment growth ~7% versus ~15% previously</t>
  </si>
  <si>
    <t>Raises segment-growth concern</t>
  </si>
  <si>
    <t>Working-capital movement</t>
  </si>
  <si>
    <t>Higher receivables and inventory absorbed cash during the quarter despite revenue growth.</t>
  </si>
  <si>
    <t>Receivables ₹320 Cr; inventory ₹190 Cr</t>
  </si>
  <si>
    <t>Explains weak operating cash flow</t>
  </si>
  <si>
    <t>Management actions</t>
  </si>
  <si>
    <t>Management initiated pricing actions, supplier negotiations and cost-efficiency initiatives to improve margins and cash conversion.</t>
  </si>
  <si>
    <t>Actions disclosed for next quarters</t>
  </si>
  <si>
    <t>Provides basis for response</t>
  </si>
  <si>
    <t>Outlook</t>
  </si>
  <si>
    <t>Management expects margin pressure to moderate as pricing actions and cost initiatives are implemented, subject to market and input-cost conditions.</t>
  </si>
  <si>
    <t>Forward-looking statement</t>
  </si>
  <si>
    <t>Needs careful wording in earnings call</t>
  </si>
  <si>
    <t>Investor Risk Map</t>
  </si>
  <si>
    <t>Issue</t>
  </si>
  <si>
    <t>What Changed?</t>
  </si>
  <si>
    <t>Why It Matters</t>
  </si>
  <si>
    <t>Financial Impact (1–5)</t>
  </si>
  <si>
    <t>Negative Trend (1–5)</t>
  </si>
  <si>
    <t>Guidance Gap (1–5)</t>
  </si>
  <si>
    <t>Strategic Importance (1–5)</t>
  </si>
  <si>
    <t>Total Score</t>
  </si>
  <si>
    <t>Risk Level</t>
  </si>
  <si>
    <t>Preparation Need</t>
  </si>
  <si>
    <t>Operating margin decline</t>
  </si>
  <si>
    <t>22% → 18%</t>
  </si>
  <si>
    <t>Revenue growth is not translating into profitability.</t>
  </si>
  <si>
    <t>Prepare quantified margin bridge and acknowledge guidance gap.</t>
  </si>
  <si>
    <t>Cash-flow deterioration</t>
  </si>
  <si>
    <t>₹180 Cr → ₹110 Cr versus Q4 FY24</t>
  </si>
  <si>
    <t>Weak cash conversion can challenge earnings quality.</t>
  </si>
  <si>
    <t>Explain receivables, inventory and normalization actions.</t>
  </si>
  <si>
    <t>~15% → ~7% growth</t>
  </si>
  <si>
    <t>Demand weakness could affect future growth mix.</t>
  </si>
  <si>
    <t>Prepare segment recovery / demand response.</t>
  </si>
  <si>
    <t>Guidance miss (margin)</t>
  </si>
  <si>
    <t>Expected &gt;20%; actual 18%</t>
  </si>
  <si>
    <t>Raises management credibility concern.</t>
  </si>
  <si>
    <t>Directly acknowledge prior commitment and explain deviation.</t>
  </si>
  <si>
    <t>Working-capital pressure</t>
  </si>
  <si>
    <t>Receivables and inventory increased</t>
  </si>
  <si>
    <t>Cash generation weakened despite revenue growth.</t>
  </si>
  <si>
    <t>Prepare cash conversion bridge.</t>
  </si>
  <si>
    <t>Digital Services slowdown</t>
  </si>
  <si>
    <t>~8% → ~3% growth</t>
  </si>
  <si>
    <t>Raises sustainability question.</t>
  </si>
  <si>
    <t>Explain pipeline and demand drivers using disclosed evidence.</t>
  </si>
  <si>
    <t>Revenue quality</t>
  </si>
  <si>
    <t>Topline +15%; margin -4 percentage points</t>
  </si>
  <si>
    <t>Investors may challenge quality of growth.</t>
  </si>
  <si>
    <t>Prepare mix and margin explanation.</t>
  </si>
  <si>
    <t>Top Investor Questions</t>
  </si>
  <si>
    <t>Priority</t>
  </si>
  <si>
    <t>Category</t>
  </si>
  <si>
    <t>Investor Question</t>
  </si>
  <si>
    <t>Why Investor Would Ask</t>
  </si>
  <si>
    <t>Key Evidence</t>
  </si>
  <si>
    <t>Previous Commitment</t>
  </si>
  <si>
    <t>Recommended Preparation</t>
  </si>
  <si>
    <t>Profitability</t>
  </si>
  <si>
    <t>Revenue grew by 15%, so why did operating margin fall from 22% to 18%?</t>
  </si>
  <si>
    <t>Strong topline growth has not translated into profitability.</t>
  </si>
  <si>
    <t>Revenue +15%; margin -4 percentage points; input costs ~+8%; lower-margin mix.</t>
  </si>
  <si>
    <t>Margin expected to remain above 20%.</t>
  </si>
  <si>
    <t>Critical</t>
  </si>
  <si>
    <t>Prepare quantified margin bridge; acknowledge guidance miss.</t>
  </si>
  <si>
    <t>Cash Flow</t>
  </si>
  <si>
    <t>Why did operating cash flow decline despite strong revenue growth?</t>
  </si>
  <si>
    <t>Investors may question earnings quality and cash conversion.</t>
  </si>
  <si>
    <t>Operating cash flow ₹110 Cr; higher receivables and inventory.</t>
  </si>
  <si>
    <t>Cash-flow conversion expected to improve.</t>
  </si>
  <si>
    <t>Prepare working-capital and cash-conversion explanation.</t>
  </si>
  <si>
    <t>Segment Performance</t>
  </si>
  <si>
    <t>Why has Consumer Technology growth slowed and what gives investors confidence?</t>
  </si>
  <si>
    <t>Growth fell materially from the previous period.</t>
  </si>
  <si>
    <t>Growth ~7%; prior growth ~15%; selected consumer demand softened.</t>
  </si>
  <si>
    <t>Low double-digit growth expected.</t>
  </si>
  <si>
    <t>High</t>
  </si>
  <si>
    <t>Prepare segment demand response and recovery actions.</t>
  </si>
  <si>
    <t>Guidance</t>
  </si>
  <si>
    <t>Last quarter management indicated margins would remain above 20%. What caused the miss?</t>
  </si>
  <si>
    <t>Actual performance differs from a clear prior commitment.</t>
  </si>
  <si>
    <t>Expected &gt;20%; actual 18%; higher costs and mix pressure.</t>
  </si>
  <si>
    <t>Margin expected above 20%.</t>
  </si>
  <si>
    <t>Directly acknowledge deviation and explain corrective actions.</t>
  </si>
  <si>
    <t>Sustainability</t>
  </si>
  <si>
    <t>Is the current margin pressure temporary or should investors expect structurally lower profitability?</t>
  </si>
  <si>
    <t>Margin decline could be structural if cost/mix issues persist.</t>
  </si>
  <si>
    <t>Margin 18%; pricing, supplier and cost-efficiency actions initiated.</t>
  </si>
  <si>
    <t>No structural decline was previously expected.</t>
  </si>
  <si>
    <t>Explain what is temporary versus structural using disclosed evidence.</t>
  </si>
  <si>
    <t>Evidence-Backed Response Review</t>
  </si>
  <si>
    <t>Direct Answer</t>
  </si>
  <si>
    <t>Evidence</t>
  </si>
  <si>
    <t>Explanation</t>
  </si>
  <si>
    <t>Management Action</t>
  </si>
  <si>
    <t>Forward-Looking Context</t>
  </si>
  <si>
    <t>Evidence Sources</t>
  </si>
  <si>
    <t>Commitment Gap?</t>
  </si>
  <si>
    <t>Unsupported Claim?</t>
  </si>
  <si>
    <t>Evidence Support</t>
  </si>
  <si>
    <t>Directness</t>
  </si>
  <si>
    <t>Concern Coverage</t>
  </si>
  <si>
    <t>Consistency</t>
  </si>
  <si>
    <t>Clarity</t>
  </si>
  <si>
    <t>Overall Score</t>
  </si>
  <si>
    <t>Review</t>
  </si>
  <si>
    <t>Why did margins decline despite revenue growth?</t>
  </si>
  <si>
    <t>Margin declined primarily because of higher input costs and an unfavourable product mix, partly offset by pricing actions.</t>
  </si>
  <si>
    <t>Revenue +15%; margin 22%→18%; input/supplier costs ~+8%; lower-margin mix.</t>
  </si>
  <si>
    <t>Revenue growth was concentrated in lower-margin offerings while input costs increased.</t>
  </si>
  <si>
    <t>Pricing actions, supplier negotiations and cost-efficiency initiatives.</t>
  </si>
  <si>
    <t>Management expects pressure to moderate as disclosed actions are implemented, subject to market conditions.</t>
  </si>
  <si>
    <t>Quarterly results; management commentary; prior earnings call</t>
  </si>
  <si>
    <t>Yes</t>
  </si>
  <si>
    <t>No</t>
  </si>
  <si>
    <t>Why did operating cash flow decline despite revenue growth?</t>
  </si>
  <si>
    <t>Operating cash flow weakened primarily because higher receivables and inventory absorbed cash during the quarter.</t>
  </si>
  <si>
    <t>Operating cash flow ₹110 Cr; receivables ₹320 Cr; inventory ₹190 Cr.</t>
  </si>
  <si>
    <t>Cash conversion weakened despite topline growth.</t>
  </si>
  <si>
    <t>Management is focusing on cash conversion and working-capital normalization.</t>
  </si>
  <si>
    <t>Timing of normalization depends on receivable collection and inventory movement.</t>
  </si>
  <si>
    <t>Financial data; management commentary</t>
  </si>
  <si>
    <t>Why has Consumer Technology growth slowed?</t>
  </si>
  <si>
    <t>Consumer Technology growth slowed as demand softened in selected categories.</t>
  </si>
  <si>
    <t>Growth ~7%; prior growth ~15%.</t>
  </si>
  <si>
    <t>Selected consumer demand weakened, reducing the segment's growth rate.</t>
  </si>
  <si>
    <t>Management needs to address pricing, product and demand initiatives using disclosed plans.</t>
  </si>
  <si>
    <t>The disclosure does not provide a quantified recovery timetable.</t>
  </si>
  <si>
    <t>Segment data; management commentary</t>
  </si>
  <si>
    <t>What caused the margin guidance miss?</t>
  </si>
  <si>
    <t>The margin fell below the previous &gt;20% expectation because of higher input costs and an unfavourable mix.</t>
  </si>
  <si>
    <t>Previous commitment &gt;20%; actual 18%.</t>
  </si>
  <si>
    <t>The response explicitly acknowledges the deviation.</t>
  </si>
  <si>
    <t>Pricing and cost-efficiency initiatives were initiated.</t>
  </si>
  <si>
    <t>No unsupported target should be given beyond disclosed expectations.</t>
  </si>
  <si>
    <t>Prior earnings call; current results; management commentary</t>
  </si>
  <si>
    <t>Is current margin pressure temporary or structural?</t>
  </si>
  <si>
    <t>Current disclosures indicate identifiable cost and mix pressures, but they do not conclusively establish how quickly margins will normalize.</t>
  </si>
  <si>
    <t>Margin 18%; cost and mix drivers identified; actions initiated.</t>
  </si>
  <si>
    <t>Some drivers may be manageable, but the disclosure does not establish a guaranteed recovery.</t>
  </si>
  <si>
    <t>Continue pricing, supplier and cost actions.</t>
  </si>
  <si>
    <t>Avoid unsupported claims about permanent recovery.</t>
  </si>
  <si>
    <t>Management commentary; current results</t>
  </si>
  <si>
    <t>Leadership Preparation Brief</t>
  </si>
  <si>
    <t>Concern</t>
  </si>
  <si>
    <t>What Leadership Must Prepare</t>
  </si>
  <si>
    <t>Recommended Talking Point</t>
  </si>
  <si>
    <t>Risk</t>
  </si>
  <si>
    <t>Margin Recovery Story</t>
  </si>
  <si>
    <t>Prepare a quantified explanation of input-cost and product-mix pressure, supported by disclosed pricing and supplier actions.</t>
  </si>
  <si>
    <t>Margin 22%→18%; input costs ~+8%; lower-margin mix.</t>
  </si>
  <si>
    <t>Acknowledge the miss, explain the drivers, then explain the actions already underway.</t>
  </si>
  <si>
    <t>Cash-Flow Improvement</t>
  </si>
  <si>
    <t>Prepare a clear explanation of receivables, inventory and normalization.</t>
  </si>
  <si>
    <t>Separate reported profitability from cash conversion and explain the working-capital movement.</t>
  </si>
  <si>
    <t>Guidance Credibility</t>
  </si>
  <si>
    <t>Explicitly acknowledge the previous &gt;20% margin expectation and explain why it was not achieved.</t>
  </si>
  <si>
    <t>Previous guidance &gt;20%; current margin 18%.</t>
  </si>
  <si>
    <t>Do not avoid the prior commitment; address the gap directly.</t>
  </si>
  <si>
    <t>Consumer Technology Action Plan</t>
  </si>
  <si>
    <t>Prepare a detailed explanation of softer demand and actions being taken to address the slowdown.</t>
  </si>
  <si>
    <t>Growth ~7% versus ~15% previously.</t>
  </si>
  <si>
    <t>Explain what management is seeing, what it is doing and what is not yet known.</t>
  </si>
  <si>
    <t>Nexora Technologies Limited — Investor Readiness Engine</t>
  </si>
  <si>
    <t>Q2 FY25 | Identify tough questions. Prepare stronger answers.</t>
  </si>
  <si>
    <t>+15%</t>
  </si>
  <si>
    <t>-4 pp</t>
  </si>
  <si>
    <t>vs Q4 FY24: -38.9%</t>
  </si>
  <si>
    <t>+20%</t>
  </si>
  <si>
    <t>+7%</t>
  </si>
  <si>
    <t>+3%</t>
  </si>
  <si>
    <t>Top Investor Concerns</t>
  </si>
  <si>
    <t>Selected Investor Question</t>
  </si>
  <si>
    <t>Rank</t>
  </si>
  <si>
    <t>Score</t>
  </si>
  <si>
    <t>Preparation</t>
  </si>
  <si>
    <t>Margin bridge + guidance acknowledgment</t>
  </si>
  <si>
    <t>Revenue +15%; margin 22%→18%; input costs ~+8%; lower-margin mix.</t>
  </si>
  <si>
    <t>Working-capital explanation</t>
  </si>
  <si>
    <t>Previous commitment</t>
  </si>
  <si>
    <t>Operating margin expected above 20%.</t>
  </si>
  <si>
    <t>Prior commitment was not achieved.</t>
  </si>
  <si>
    <t>Explain deviation</t>
  </si>
  <si>
    <t>Consistency check</t>
  </si>
  <si>
    <t>COMMITMENT GAP DETECTED — current margin is 18%.</t>
  </si>
  <si>
    <t>Demand weakness may affect future growth mix.</t>
  </si>
  <si>
    <t>Segment response plan</t>
  </si>
  <si>
    <t>Response score</t>
  </si>
  <si>
    <t>4.2 / 5</t>
  </si>
  <si>
    <t>Receivables and inventory absorbed cash.</t>
  </si>
  <si>
    <t>Cash conversion bridge</t>
  </si>
  <si>
    <t>Recommendation</t>
  </si>
  <si>
    <t>Prepare a quantified margin-recovery story and acknowledge the prior guidance miss.</t>
  </si>
  <si>
    <t>Leadership Preparation</t>
  </si>
  <si>
    <t>Action</t>
  </si>
  <si>
    <t>Why</t>
  </si>
  <si>
    <t>Quantify input-cost and mix pressure; explain pricing and supplier actions.</t>
  </si>
  <si>
    <t>Explain receivables, inventory and the path toward normalization.</t>
  </si>
  <si>
    <t>Directly acknowledge previous &gt;20% margin guidance and explain the gap.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</si>
</sst>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[Red]\(#,##0\);\-"/>
    <numFmt numFmtId="165" formatCode="0.0%;[Red]\(0.0%\);\-"/>
    <numFmt numFmtId="166" formatCode="0.0\ \p\p;[Red]\(0.0\ \p\p\);\-"/>
    <numFmt numFmtId="167" formatCode="0.0%"/>
    <numFmt numFmtId="168" formatCode="0.0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0F2747"/>
      <name val="Carlito"/>
    </font>
    <font>
      <b/>
      <sz val="11"/>
      <color rgb="FFFFFFFF"/>
      <name val="Carlito"/>
    </font>
    <font>
      <sz val="11"/>
      <color rgb="FF000000"/>
      <name val="Carlito"/>
    </font>
    <font>
      <b/>
      <sz val="15"/>
      <color rgb="FF0F2747"/>
      <name val="Carlito"/>
    </font>
    <font>
      <b/>
      <sz val="11"/>
      <color rgb="FF16A34A"/>
      <name val="Carlito"/>
    </font>
    <font>
      <b/>
      <sz val="11"/>
      <color rgb="FFDC2626"/>
      <name val="Carlito"/>
    </font>
    <font>
      <b/>
      <sz val="11"/>
      <color rgb="FFD97706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2747"/>
      </patternFill>
    </fill>
    <fill>
      <patternFill patternType="solid">
        <fgColor rgb="FF2563EB"/>
      </patternFill>
    </fill>
    <fill>
      <patternFill patternType="solid">
        <fgColor rgb="FFFEF3C7"/>
      </patternFill>
    </fill>
    <fill>
      <patternFill patternType="solid">
        <fgColor rgb="FFEFF6FF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166" fontId="0" fillId="0" borderId="0" xfId="0" applyNumberFormat="1" applyAlignment="1">
      <alignment vertical="center" wrapText="1"/>
    </xf>
    <xf numFmtId="167" fontId="0" fillId="0" borderId="0" xfId="0" applyNumberFormat="1" applyAlignment="1">
      <alignment vertical="center" wrapText="1"/>
    </xf>
    <xf numFmtId="168" fontId="0" fillId="0" borderId="0" xfId="0" applyNumberFormat="1" applyAlignment="1">
      <alignment vertical="center" wrapText="1"/>
    </xf>
    <xf numFmtId="0" fontId="2" fillId="8" borderId="0" xfId="0" applyFont="1" applyFill="1"/>
    <xf numFmtId="0" fontId="1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wrapText="1"/>
    </xf>
    <xf numFmtId="0" fontId="2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3" fontId="5" fillId="5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167" fontId="5" fillId="5" borderId="0" xfId="0" applyNumberFormat="1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2" fillId="5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b/>
        <color rgb="FFD97706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Quarterly Financial Performance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'Quarterly Financials'!$A$4:$A$7</c:f>
              <c:strCache>
                <c:ptCount val="4"/>
                <c:pt idx="0">
                  <c:v>Revenue</c:v>
                </c:pt>
                <c:pt idx="1">
                  <c:v>Operating Profit</c:v>
                </c:pt>
                <c:pt idx="2">
                  <c:v>Operating Margin</c:v>
                </c:pt>
                <c:pt idx="3">
                  <c:v>Operating Cash Flow</c:v>
                </c:pt>
              </c:strCache>
            </c:strRef>
          </c:cat>
          <c:val>
            <c:numRef>
              <c:f>'Quarterly Financials'!$B$4:$B$7</c:f>
              <c:numCache>
                <c:formatCode>#,##0;[Red]\(#,##0\);\-</c:formatCode>
                <c:ptCount val="4"/>
                <c:pt idx="0">
                  <c:v>820</c:v>
                </c:pt>
                <c:pt idx="1">
                  <c:v>164</c:v>
                </c:pt>
                <c:pt idx="2" formatCode="0.0%;[Red]\(0.0%\);\-">
                  <c:v>0.2</c:v>
                </c:pt>
                <c:pt idx="3">
                  <c:v>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54-431B-9116-C36FA8329BE0}"/>
            </c:ext>
          </c:extLst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'Quarterly Financials'!$A$4:$A$7</c:f>
              <c:strCache>
                <c:ptCount val="4"/>
                <c:pt idx="0">
                  <c:v>Revenue</c:v>
                </c:pt>
                <c:pt idx="1">
                  <c:v>Operating Profit</c:v>
                </c:pt>
                <c:pt idx="2">
                  <c:v>Operating Margin</c:v>
                </c:pt>
                <c:pt idx="3">
                  <c:v>Operating Cash Flow</c:v>
                </c:pt>
              </c:strCache>
            </c:strRef>
          </c:cat>
          <c:val>
            <c:numRef>
              <c:f>'Quarterly Financials'!$C$4:$C$7</c:f>
              <c:numCache>
                <c:formatCode>#,##0;[Red]\(#,##0\);\-</c:formatCode>
                <c:ptCount val="4"/>
                <c:pt idx="0">
                  <c:v>900</c:v>
                </c:pt>
                <c:pt idx="1">
                  <c:v>198</c:v>
                </c:pt>
                <c:pt idx="2" formatCode="0.0%;[Red]\(0.0%\);\-">
                  <c:v>0.22</c:v>
                </c:pt>
                <c:pt idx="3">
                  <c:v>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54-431B-9116-C36FA8329BE0}"/>
            </c:ext>
          </c:extLst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'Quarterly Financials'!$A$4:$A$7</c:f>
              <c:strCache>
                <c:ptCount val="4"/>
                <c:pt idx="0">
                  <c:v>Revenue</c:v>
                </c:pt>
                <c:pt idx="1">
                  <c:v>Operating Profit</c:v>
                </c:pt>
                <c:pt idx="2">
                  <c:v>Operating Margin</c:v>
                </c:pt>
                <c:pt idx="3">
                  <c:v>Operating Cash Flow</c:v>
                </c:pt>
              </c:strCache>
            </c:strRef>
          </c:cat>
          <c:val>
            <c:numRef>
              <c:f>'Quarterly Financials'!$D$4:$D$7</c:f>
              <c:numCache>
                <c:formatCode>#,##0;[Red]\(#,##0\);\-</c:formatCode>
                <c:ptCount val="4"/>
                <c:pt idx="0">
                  <c:v>1000</c:v>
                </c:pt>
                <c:pt idx="1">
                  <c:v>220</c:v>
                </c:pt>
                <c:pt idx="2" formatCode="0.0%;[Red]\(0.0%\);\-">
                  <c:v>0.22</c:v>
                </c:pt>
                <c:pt idx="3">
                  <c:v>150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354-431B-9116-C36FA8329BE0}"/>
            </c:ext>
          </c:extLst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'Quarterly Financials'!$A$4:$A$7</c:f>
              <c:strCache>
                <c:ptCount val="4"/>
                <c:pt idx="0">
                  <c:v>Revenue</c:v>
                </c:pt>
                <c:pt idx="1">
                  <c:v>Operating Profit</c:v>
                </c:pt>
                <c:pt idx="2">
                  <c:v>Operating Margin</c:v>
                </c:pt>
                <c:pt idx="3">
                  <c:v>Operating Cash Flow</c:v>
                </c:pt>
              </c:strCache>
            </c:strRef>
          </c:cat>
          <c:val>
            <c:numRef>
              <c:f>'Quarterly Financials'!$E$4:$E$7</c:f>
              <c:numCache>
                <c:formatCode>#,##0;[Red]\(#,##0\);\-</c:formatCode>
                <c:ptCount val="4"/>
                <c:pt idx="0">
                  <c:v>1150</c:v>
                </c:pt>
                <c:pt idx="1">
                  <c:v>207</c:v>
                </c:pt>
                <c:pt idx="2" formatCode="0.0%;[Red]\(0.0%\);\-">
                  <c:v>0.18</c:v>
                </c:pt>
                <c:pt idx="3">
                  <c:v>110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354-431B-9116-C36FA8329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Segment Revenue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'Segment Data'!$A$4:$A$6</c:f>
              <c:strCache>
                <c:ptCount val="3"/>
                <c:pt idx="0">
                  <c:v>Enterprise Solutions</c:v>
                </c:pt>
                <c:pt idx="1">
                  <c:v>Consumer Technology</c:v>
                </c:pt>
                <c:pt idx="2">
                  <c:v>Digital Services</c:v>
                </c:pt>
              </c:strCache>
            </c:strRef>
          </c:cat>
          <c:val>
            <c:numRef>
              <c:f>'Segment Data'!$B$4:$B$6</c:f>
              <c:numCache>
                <c:formatCode>#,##0;[Red]\(#,##0\);\-</c:formatCode>
                <c:ptCount val="3"/>
                <c:pt idx="0">
                  <c:v>360</c:v>
                </c:pt>
                <c:pt idx="1">
                  <c:v>300</c:v>
                </c:pt>
                <c:pt idx="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4-4374-A75B-C8B3047363DB}"/>
            </c:ext>
          </c:extLst>
        </c:ser>
        <c:ser>
          <c:idx val="1"/>
          <c:order val="1"/>
          <c:tx>
            <c:v>Series 2</c:v>
          </c:tx>
          <c:invertIfNegative val="1"/>
          <c:cat>
            <c:strRef>
              <c:f>'Segment Data'!$A$4:$A$6</c:f>
              <c:strCache>
                <c:ptCount val="3"/>
                <c:pt idx="0">
                  <c:v>Enterprise Solutions</c:v>
                </c:pt>
                <c:pt idx="1">
                  <c:v>Consumer Technology</c:v>
                </c:pt>
                <c:pt idx="2">
                  <c:v>Digital Services</c:v>
                </c:pt>
              </c:strCache>
            </c:strRef>
          </c:cat>
          <c:val>
            <c:numRef>
              <c:f>'Segment Data'!$C$4:$C$6</c:f>
              <c:numCache>
                <c:formatCode>#,##0;[Red]\(#,##0\);\-</c:formatCode>
                <c:ptCount val="3"/>
                <c:pt idx="0">
                  <c:v>390</c:v>
                </c:pt>
                <c:pt idx="1">
                  <c:v>330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4-4374-A75B-C8B3047363DB}"/>
            </c:ext>
          </c:extLst>
        </c:ser>
        <c:ser>
          <c:idx val="2"/>
          <c:order val="2"/>
          <c:tx>
            <c:v>Series 3</c:v>
          </c:tx>
          <c:invertIfNegative val="1"/>
          <c:cat>
            <c:strRef>
              <c:f>'Segment Data'!$A$4:$A$6</c:f>
              <c:strCache>
                <c:ptCount val="3"/>
                <c:pt idx="0">
                  <c:v>Enterprise Solutions</c:v>
                </c:pt>
                <c:pt idx="1">
                  <c:v>Consumer Technology</c:v>
                </c:pt>
                <c:pt idx="2">
                  <c:v>Digital Services</c:v>
                </c:pt>
              </c:strCache>
            </c:strRef>
          </c:cat>
          <c:val>
            <c:numRef>
              <c:f>'Segment Data'!$D$4:$D$6</c:f>
              <c:numCache>
                <c:formatCode>#,##0;[Red]\(#,##0\);\-</c:formatCode>
                <c:ptCount val="3"/>
                <c:pt idx="0">
                  <c:v>417</c:v>
                </c:pt>
                <c:pt idx="1">
                  <c:v>364</c:v>
                </c:pt>
                <c:pt idx="2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24-4374-A75B-C8B3047363DB}"/>
            </c:ext>
          </c:extLst>
        </c:ser>
        <c:ser>
          <c:idx val="3"/>
          <c:order val="3"/>
          <c:tx>
            <c:v>Series 4</c:v>
          </c:tx>
          <c:invertIfNegative val="1"/>
          <c:cat>
            <c:strRef>
              <c:f>'Segment Data'!$A$4:$A$6</c:f>
              <c:strCache>
                <c:ptCount val="3"/>
                <c:pt idx="0">
                  <c:v>Enterprise Solutions</c:v>
                </c:pt>
                <c:pt idx="1">
                  <c:v>Consumer Technology</c:v>
                </c:pt>
                <c:pt idx="2">
                  <c:v>Digital Services</c:v>
                </c:pt>
              </c:strCache>
            </c:strRef>
          </c:cat>
          <c:val>
            <c:numRef>
              <c:f>'Segment Data'!$E$4:$E$6</c:f>
              <c:numCache>
                <c:formatCode>#,##0;[Red]\(#,##0\);\-</c:formatCode>
                <c:ptCount val="3"/>
                <c:pt idx="0">
                  <c:v>500</c:v>
                </c:pt>
                <c:pt idx="1">
                  <c:v>389</c:v>
                </c:pt>
                <c:pt idx="2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24-4374-A75B-C8B304736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A8" sqref="A8:XFD8"/>
    </sheetView>
  </sheetViews>
  <sheetFormatPr defaultRowHeight="14"/>
  <cols>
    <col min="1" max="1" width="22" customWidth="1"/>
    <col min="2" max="2" width="100" customWidth="1"/>
  </cols>
  <sheetData>
    <row r="1" spans="1:8" ht="18.649999999999999" customHeight="1">
      <c r="A1" s="12" t="s">
        <v>0</v>
      </c>
      <c r="B1" s="12"/>
      <c r="C1" s="12"/>
      <c r="D1" s="12"/>
      <c r="E1" s="12"/>
      <c r="F1" s="12"/>
      <c r="G1" s="12"/>
      <c r="H1" s="12"/>
    </row>
    <row r="3" spans="1:8">
      <c r="A3" s="2" t="s">
        <v>1</v>
      </c>
      <c r="B3" s="3" t="s">
        <v>2</v>
      </c>
    </row>
    <row r="4" spans="1:8">
      <c r="A4" s="2" t="s">
        <v>3</v>
      </c>
      <c r="B4" s="3" t="s">
        <v>4</v>
      </c>
    </row>
    <row r="5" spans="1:8">
      <c r="A5" s="2" t="s">
        <v>5</v>
      </c>
      <c r="B5" s="3" t="s">
        <v>6</v>
      </c>
    </row>
    <row r="6" spans="1:8" ht="28">
      <c r="A6" s="2" t="s">
        <v>7</v>
      </c>
      <c r="B6" s="3" t="s">
        <v>8</v>
      </c>
    </row>
    <row r="7" spans="1:8" ht="28">
      <c r="A7" s="2" t="s">
        <v>9</v>
      </c>
      <c r="B7" s="3" t="s">
        <v>10</v>
      </c>
    </row>
    <row r="9" spans="1:8">
      <c r="A9" s="13" t="s">
        <v>11</v>
      </c>
      <c r="B9" s="13"/>
      <c r="C9" s="13"/>
      <c r="D9" s="13"/>
      <c r="E9" s="13"/>
      <c r="F9" s="13"/>
      <c r="G9" s="13"/>
      <c r="H9" s="13"/>
    </row>
    <row r="10" spans="1:8">
      <c r="A10" s="4" t="s">
        <v>12</v>
      </c>
      <c r="B10" s="4" t="s">
        <v>13</v>
      </c>
    </row>
    <row r="11" spans="1:8">
      <c r="A11" s="3" t="s">
        <v>14</v>
      </c>
      <c r="B11" s="3" t="s">
        <v>15</v>
      </c>
    </row>
    <row r="12" spans="1:8">
      <c r="A12" s="3" t="s">
        <v>16</v>
      </c>
      <c r="B12" s="3" t="s">
        <v>17</v>
      </c>
    </row>
    <row r="13" spans="1:8" ht="28">
      <c r="A13" s="3" t="s">
        <v>18</v>
      </c>
      <c r="B13" s="3" t="s">
        <v>19</v>
      </c>
    </row>
    <row r="14" spans="1:8">
      <c r="A14" s="3" t="s">
        <v>20</v>
      </c>
      <c r="B14" s="3" t="s">
        <v>21</v>
      </c>
    </row>
    <row r="15" spans="1:8">
      <c r="A15" s="3" t="s">
        <v>22</v>
      </c>
      <c r="B15" s="3" t="s">
        <v>23</v>
      </c>
    </row>
  </sheetData>
  <mergeCells count="2">
    <mergeCell ref="A1:H1"/>
    <mergeCell ref="A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/>
  </sheetViews>
  <sheetFormatPr defaultRowHeight="14"/>
  <cols>
    <col min="1" max="1" width="24" customWidth="1"/>
    <col min="2" max="6" width="15" customWidth="1"/>
    <col min="7" max="7" width="40" customWidth="1"/>
    <col min="8" max="8" width="38" customWidth="1"/>
    <col min="9" max="10" width="14" customWidth="1"/>
    <col min="11" max="11" width="34" customWidth="1"/>
  </cols>
  <sheetData>
    <row r="1" spans="1:11" ht="18.649999999999999" customHeight="1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>
      <c r="A3" s="4" t="s">
        <v>25</v>
      </c>
      <c r="B3" s="4" t="s">
        <v>26</v>
      </c>
      <c r="C3" s="4" t="s">
        <v>27</v>
      </c>
      <c r="D3" s="4" t="s">
        <v>28</v>
      </c>
      <c r="E3" s="4" t="s">
        <v>4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</row>
    <row r="4" spans="1:11">
      <c r="A4" s="5" t="s">
        <v>35</v>
      </c>
      <c r="B4" s="6">
        <v>820</v>
      </c>
      <c r="C4" s="6">
        <v>900</v>
      </c>
      <c r="D4" s="6">
        <v>1000</v>
      </c>
      <c r="E4" s="6">
        <v>1150</v>
      </c>
      <c r="F4" s="7">
        <f>E4/D4-1</f>
        <v>0.14999999999999991</v>
      </c>
      <c r="G4" s="7">
        <f>E4/B4-1</f>
        <v>0.40243902439024382</v>
      </c>
      <c r="H4" s="5" t="s">
        <v>36</v>
      </c>
      <c r="I4" s="5" t="s">
        <v>37</v>
      </c>
      <c r="J4" s="5" t="s">
        <v>38</v>
      </c>
      <c r="K4" s="5" t="s">
        <v>39</v>
      </c>
    </row>
    <row r="5" spans="1:11">
      <c r="A5" s="5" t="s">
        <v>40</v>
      </c>
      <c r="B5" s="6">
        <v>164</v>
      </c>
      <c r="C5" s="6">
        <v>198</v>
      </c>
      <c r="D5" s="6">
        <v>220</v>
      </c>
      <c r="E5" s="6">
        <v>207</v>
      </c>
      <c r="F5" s="7">
        <f>E5/D5-1</f>
        <v>-5.9090909090909083E-2</v>
      </c>
      <c r="G5" s="7">
        <f>E5/B5-1</f>
        <v>0.26219512195121952</v>
      </c>
      <c r="H5" s="5" t="s">
        <v>36</v>
      </c>
      <c r="I5" s="5" t="s">
        <v>37</v>
      </c>
      <c r="J5" s="5" t="s">
        <v>38</v>
      </c>
      <c r="K5" s="5" t="s">
        <v>41</v>
      </c>
    </row>
    <row r="6" spans="1:11" ht="28">
      <c r="A6" s="5" t="s">
        <v>42</v>
      </c>
      <c r="B6" s="7">
        <f>B5/B4</f>
        <v>0.2</v>
      </c>
      <c r="C6" s="7">
        <f>C5/C4</f>
        <v>0.22</v>
      </c>
      <c r="D6" s="7">
        <f>D5/D4</f>
        <v>0.22</v>
      </c>
      <c r="E6" s="7">
        <f>E5/E4</f>
        <v>0.18</v>
      </c>
      <c r="F6" s="8">
        <f>E6-D6</f>
        <v>-4.0000000000000008E-2</v>
      </c>
      <c r="G6" s="8">
        <f>E6-B6</f>
        <v>-2.0000000000000018E-2</v>
      </c>
      <c r="H6" s="5" t="s">
        <v>43</v>
      </c>
      <c r="I6" s="5" t="s">
        <v>44</v>
      </c>
      <c r="J6" s="5" t="s">
        <v>45</v>
      </c>
      <c r="K6" s="5" t="s">
        <v>46</v>
      </c>
    </row>
    <row r="7" spans="1:11">
      <c r="A7" s="5" t="s">
        <v>47</v>
      </c>
      <c r="B7" s="6">
        <v>140</v>
      </c>
      <c r="C7" s="6">
        <v>180</v>
      </c>
      <c r="D7" s="6">
        <v>150</v>
      </c>
      <c r="E7" s="6">
        <v>110</v>
      </c>
      <c r="F7" s="7">
        <f>E7/D7-1</f>
        <v>-0.26666666666666672</v>
      </c>
      <c r="G7" s="7">
        <f>E7/B7-1</f>
        <v>-0.2142857142857143</v>
      </c>
      <c r="H7" s="5" t="s">
        <v>36</v>
      </c>
      <c r="I7" s="5" t="s">
        <v>37</v>
      </c>
      <c r="J7" s="5" t="s">
        <v>38</v>
      </c>
      <c r="K7" s="5" t="s">
        <v>48</v>
      </c>
    </row>
    <row r="10" spans="1:11">
      <c r="A10" s="13" t="s">
        <v>49</v>
      </c>
      <c r="B10" s="13"/>
      <c r="C10" s="13"/>
      <c r="D10" s="13"/>
      <c r="E10" s="13"/>
      <c r="F10" s="13"/>
      <c r="G10" s="13"/>
      <c r="H10" s="13"/>
    </row>
    <row r="11" spans="1:11">
      <c r="A11" s="4" t="s">
        <v>25</v>
      </c>
      <c r="B11" s="4" t="s">
        <v>26</v>
      </c>
      <c r="C11" s="4" t="s">
        <v>27</v>
      </c>
      <c r="D11" s="4" t="s">
        <v>28</v>
      </c>
      <c r="E11" s="4" t="s">
        <v>4</v>
      </c>
      <c r="F11" s="4" t="s">
        <v>29</v>
      </c>
      <c r="G11" s="4" t="s">
        <v>31</v>
      </c>
      <c r="H11" s="4" t="s">
        <v>50</v>
      </c>
    </row>
    <row r="12" spans="1:11">
      <c r="A12" s="5" t="s">
        <v>51</v>
      </c>
      <c r="B12" s="6">
        <v>90</v>
      </c>
      <c r="C12" s="6">
        <v>95</v>
      </c>
      <c r="D12" s="6">
        <v>110</v>
      </c>
      <c r="E12" s="6">
        <v>120</v>
      </c>
      <c r="F12" s="7">
        <f>E12/D12-1</f>
        <v>9.0909090909090828E-2</v>
      </c>
      <c r="G12" s="5" t="s">
        <v>36</v>
      </c>
      <c r="H12" s="5" t="s">
        <v>52</v>
      </c>
    </row>
    <row r="13" spans="1:11">
      <c r="A13" s="5" t="s">
        <v>53</v>
      </c>
      <c r="B13" s="6">
        <v>210</v>
      </c>
      <c r="C13" s="6">
        <v>225</v>
      </c>
      <c r="D13" s="6">
        <v>260</v>
      </c>
      <c r="E13" s="6">
        <v>320</v>
      </c>
      <c r="F13" s="7">
        <f>E13/D13-1</f>
        <v>0.23076923076923084</v>
      </c>
      <c r="G13" s="5" t="s">
        <v>36</v>
      </c>
      <c r="H13" s="5" t="s">
        <v>54</v>
      </c>
    </row>
    <row r="14" spans="1:11">
      <c r="A14" s="5" t="s">
        <v>55</v>
      </c>
      <c r="B14" s="6">
        <v>160</v>
      </c>
      <c r="C14" s="6">
        <v>170</v>
      </c>
      <c r="D14" s="6">
        <v>175</v>
      </c>
      <c r="E14" s="6">
        <v>190</v>
      </c>
      <c r="F14" s="7">
        <f>E14/D14-1</f>
        <v>8.5714285714285632E-2</v>
      </c>
      <c r="G14" s="5" t="s">
        <v>36</v>
      </c>
      <c r="H14" s="5" t="s">
        <v>56</v>
      </c>
    </row>
    <row r="15" spans="1:11">
      <c r="A15" s="5" t="s">
        <v>57</v>
      </c>
      <c r="B15" s="6">
        <f>B13+B14</f>
        <v>370</v>
      </c>
      <c r="C15" s="6">
        <f>C13+C14</f>
        <v>395</v>
      </c>
      <c r="D15" s="6">
        <f>D13+D14</f>
        <v>435</v>
      </c>
      <c r="E15" s="6">
        <f>E13+E14</f>
        <v>510</v>
      </c>
      <c r="F15" s="6">
        <f>E15-D15</f>
        <v>75</v>
      </c>
      <c r="G15" s="5" t="s">
        <v>58</v>
      </c>
      <c r="H15" s="5" t="s">
        <v>59</v>
      </c>
    </row>
    <row r="16" spans="1:11">
      <c r="A16" s="5" t="s">
        <v>60</v>
      </c>
      <c r="B16" s="6">
        <f>B7-B12</f>
        <v>50</v>
      </c>
      <c r="C16" s="6">
        <f>C7-C12</f>
        <v>85</v>
      </c>
      <c r="D16" s="6">
        <f>D7-D12</f>
        <v>40</v>
      </c>
      <c r="E16" s="6">
        <f>E7-E12</f>
        <v>-10</v>
      </c>
      <c r="F16" s="6">
        <f>E16-D16</f>
        <v>-50</v>
      </c>
      <c r="G16" s="5" t="s">
        <v>61</v>
      </c>
      <c r="H16" s="5" t="s">
        <v>62</v>
      </c>
    </row>
    <row r="18" spans="1:8">
      <c r="A18" s="14" t="s">
        <v>63</v>
      </c>
      <c r="B18" s="14"/>
      <c r="C18" s="14"/>
      <c r="D18" s="14"/>
      <c r="E18" s="14"/>
      <c r="F18" s="14"/>
      <c r="G18" s="14"/>
      <c r="H18" s="14"/>
    </row>
    <row r="19" spans="1:8">
      <c r="A19" s="14"/>
      <c r="B19" s="14"/>
      <c r="C19" s="14"/>
      <c r="D19" s="14"/>
      <c r="E19" s="14"/>
      <c r="F19" s="14"/>
      <c r="G19" s="14"/>
      <c r="H19" s="14"/>
    </row>
  </sheetData>
  <mergeCells count="3">
    <mergeCell ref="A1:K1"/>
    <mergeCell ref="A10:H10"/>
    <mergeCell ref="A18:H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/>
  </sheetViews>
  <sheetFormatPr defaultRowHeight="14"/>
  <cols>
    <col min="1" max="1" width="28" customWidth="1"/>
    <col min="2" max="10" width="15" customWidth="1"/>
    <col min="11" max="11" width="14" customWidth="1"/>
    <col min="12" max="12" width="44" customWidth="1"/>
  </cols>
  <sheetData>
    <row r="1" spans="1:12" ht="18.649999999999999" customHeight="1">
      <c r="A1" s="12" t="s">
        <v>64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spans="1:12" ht="28">
      <c r="A3" s="4" t="s">
        <v>65</v>
      </c>
      <c r="B3" s="4" t="s">
        <v>66</v>
      </c>
      <c r="C3" s="4" t="s">
        <v>67</v>
      </c>
      <c r="D3" s="4" t="s">
        <v>68</v>
      </c>
      <c r="E3" s="4" t="s">
        <v>69</v>
      </c>
      <c r="F3" s="4" t="s">
        <v>70</v>
      </c>
      <c r="G3" s="4" t="s">
        <v>71</v>
      </c>
      <c r="H3" s="4" t="s">
        <v>72</v>
      </c>
      <c r="I3" s="4" t="s">
        <v>73</v>
      </c>
      <c r="J3" s="4" t="s">
        <v>74</v>
      </c>
      <c r="K3" s="4" t="s">
        <v>75</v>
      </c>
      <c r="L3" s="4" t="s">
        <v>76</v>
      </c>
    </row>
    <row r="4" spans="1:12">
      <c r="A4" s="5" t="s">
        <v>77</v>
      </c>
      <c r="B4" s="6">
        <v>360</v>
      </c>
      <c r="C4" s="6">
        <v>390</v>
      </c>
      <c r="D4" s="6">
        <v>417</v>
      </c>
      <c r="E4" s="6">
        <v>500</v>
      </c>
      <c r="F4" s="7">
        <f>E4/D4-1</f>
        <v>0.19904076738609122</v>
      </c>
      <c r="G4" s="7">
        <f>D4/C4-1</f>
        <v>6.9230769230769207E-2</v>
      </c>
      <c r="H4" s="7">
        <f>F4-G4</f>
        <v>0.12980999815532202</v>
      </c>
      <c r="I4" s="9">
        <v>0.22</v>
      </c>
      <c r="J4" s="9">
        <f>E4/'Quarterly Financials'!$E$4</f>
        <v>0.43478260869565216</v>
      </c>
      <c r="K4" s="5" t="s">
        <v>78</v>
      </c>
      <c r="L4" s="5" t="s">
        <v>79</v>
      </c>
    </row>
    <row r="5" spans="1:12">
      <c r="A5" s="5" t="s">
        <v>80</v>
      </c>
      <c r="B5" s="6">
        <v>300</v>
      </c>
      <c r="C5" s="6">
        <v>330</v>
      </c>
      <c r="D5" s="6">
        <v>364</v>
      </c>
      <c r="E5" s="6">
        <v>389</v>
      </c>
      <c r="F5" s="7">
        <f>E5/D5-1</f>
        <v>6.8681318681318659E-2</v>
      </c>
      <c r="G5" s="7">
        <f>D5/C5-1</f>
        <v>0.10303030303030303</v>
      </c>
      <c r="H5" s="7">
        <f>F5-G5</f>
        <v>-3.4348984348984368E-2</v>
      </c>
      <c r="I5" s="9">
        <v>0.15</v>
      </c>
      <c r="J5" s="9">
        <f>E5/'Quarterly Financials'!$E$4</f>
        <v>0.33826086956521739</v>
      </c>
      <c r="K5" s="5" t="s">
        <v>81</v>
      </c>
      <c r="L5" s="5" t="s">
        <v>82</v>
      </c>
    </row>
    <row r="6" spans="1:12">
      <c r="A6" s="5" t="s">
        <v>83</v>
      </c>
      <c r="B6" s="6">
        <v>130</v>
      </c>
      <c r="C6" s="6">
        <v>150</v>
      </c>
      <c r="D6" s="6">
        <v>253</v>
      </c>
      <c r="E6" s="6">
        <v>261</v>
      </c>
      <c r="F6" s="7">
        <f>E6/D6-1</f>
        <v>3.1620553359683834E-2</v>
      </c>
      <c r="G6" s="7">
        <f>D6/C6-1</f>
        <v>0.68666666666666676</v>
      </c>
      <c r="H6" s="7">
        <f>F6-G6</f>
        <v>-0.65504611330698292</v>
      </c>
      <c r="I6" s="9">
        <v>0.18</v>
      </c>
      <c r="J6" s="9">
        <f>E6/'Quarterly Financials'!$E$4</f>
        <v>0.22695652173913045</v>
      </c>
      <c r="K6" s="5" t="s">
        <v>84</v>
      </c>
      <c r="L6" s="5" t="s">
        <v>85</v>
      </c>
    </row>
    <row r="7" spans="1:12" ht="28">
      <c r="A7" s="5" t="s">
        <v>86</v>
      </c>
      <c r="B7" s="6">
        <v>30</v>
      </c>
      <c r="C7" s="6">
        <v>30</v>
      </c>
      <c r="D7" s="6">
        <v>-34</v>
      </c>
      <c r="E7" s="6">
        <v>0</v>
      </c>
      <c r="F7" s="7">
        <f>E7/D7-1</f>
        <v>-1</v>
      </c>
      <c r="G7" s="7">
        <f>D7/C7-1</f>
        <v>-2.1333333333333333</v>
      </c>
      <c r="H7" s="7">
        <f>F7-G7</f>
        <v>1.1333333333333333</v>
      </c>
      <c r="I7" s="5"/>
      <c r="J7" s="9">
        <f>E7/'Quarterly Financials'!$E$4</f>
        <v>0</v>
      </c>
      <c r="K7" s="5" t="s">
        <v>87</v>
      </c>
      <c r="L7" s="5" t="s">
        <v>88</v>
      </c>
    </row>
    <row r="8" spans="1:12" ht="28">
      <c r="A8" s="5" t="s">
        <v>89</v>
      </c>
      <c r="B8" s="6">
        <f>SUM(B4:B7)</f>
        <v>820</v>
      </c>
      <c r="C8" s="6">
        <f>SUM(C4:C7)</f>
        <v>900</v>
      </c>
      <c r="D8" s="6">
        <f>SUM(D4:D7)</f>
        <v>1000</v>
      </c>
      <c r="E8" s="6">
        <f>SUM(E4:E7)</f>
        <v>1150</v>
      </c>
      <c r="F8" s="7">
        <f>E8/D8-1</f>
        <v>0.14999999999999991</v>
      </c>
      <c r="G8" s="7">
        <f>D8/C8-1</f>
        <v>0.11111111111111116</v>
      </c>
      <c r="H8" s="7">
        <f>F8-G8</f>
        <v>3.8888888888888751E-2</v>
      </c>
      <c r="I8" s="5"/>
      <c r="J8" s="9">
        <f>E8/'Quarterly Financials'!$E$4</f>
        <v>1</v>
      </c>
      <c r="K8" s="5" t="s">
        <v>90</v>
      </c>
      <c r="L8" s="5" t="s">
        <v>91</v>
      </c>
    </row>
  </sheetData>
  <mergeCells count="1">
    <mergeCell ref="A1:L1"/>
  </mergeCells>
  <conditionalFormatting sqref="F4:H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/>
  </sheetViews>
  <sheetFormatPr defaultRowHeight="14"/>
  <cols>
    <col min="1" max="1" width="12" customWidth="1"/>
    <col min="2" max="2" width="58" customWidth="1"/>
    <col min="3" max="3" width="20" customWidth="1"/>
    <col min="4" max="5" width="16" customWidth="1"/>
    <col min="6" max="7" width="14" customWidth="1"/>
    <col min="8" max="8" width="42" customWidth="1"/>
    <col min="9" max="9" width="36" customWidth="1"/>
    <col min="10" max="10" width="32" customWidth="1"/>
  </cols>
  <sheetData>
    <row r="1" spans="1:10" ht="18.649999999999999" customHeight="1">
      <c r="A1" s="12" t="s">
        <v>92</v>
      </c>
      <c r="B1" s="12"/>
      <c r="C1" s="12"/>
      <c r="D1" s="12"/>
      <c r="E1" s="12"/>
      <c r="F1" s="12"/>
      <c r="G1" s="12"/>
      <c r="H1" s="12"/>
      <c r="I1" s="12"/>
      <c r="J1" s="12"/>
    </row>
    <row r="3" spans="1:10">
      <c r="A3" s="4" t="s">
        <v>93</v>
      </c>
      <c r="B3" s="4" t="s">
        <v>94</v>
      </c>
      <c r="C3" s="4" t="s">
        <v>25</v>
      </c>
      <c r="D3" s="4" t="s">
        <v>95</v>
      </c>
      <c r="E3" s="4" t="s">
        <v>96</v>
      </c>
      <c r="F3" s="4" t="s">
        <v>97</v>
      </c>
      <c r="G3" s="4" t="s">
        <v>98</v>
      </c>
      <c r="H3" s="4" t="s">
        <v>99</v>
      </c>
      <c r="I3" s="4" t="s">
        <v>31</v>
      </c>
      <c r="J3" s="4" t="s">
        <v>100</v>
      </c>
    </row>
    <row r="4" spans="1:10" ht="28">
      <c r="A4" s="5" t="s">
        <v>27</v>
      </c>
      <c r="B4" s="5" t="s">
        <v>101</v>
      </c>
      <c r="C4" s="5" t="s">
        <v>42</v>
      </c>
      <c r="D4" s="5" t="s">
        <v>102</v>
      </c>
      <c r="E4" s="9">
        <f>'Quarterly Financials'!E6</f>
        <v>0.18</v>
      </c>
      <c r="F4" s="7">
        <f>E4-0.2</f>
        <v>-2.0000000000000018E-2</v>
      </c>
      <c r="G4" s="5" t="str">
        <f>IF(E4&gt;0.2,"Missed",IF(E4=0.2,"Met","Missed"))</f>
        <v>Missed</v>
      </c>
      <c r="H4" s="5" t="s">
        <v>103</v>
      </c>
      <c r="I4" s="5" t="s">
        <v>104</v>
      </c>
      <c r="J4" s="5" t="s">
        <v>105</v>
      </c>
    </row>
    <row r="5" spans="1:10" ht="28">
      <c r="A5" s="5" t="s">
        <v>27</v>
      </c>
      <c r="B5" s="5" t="s">
        <v>106</v>
      </c>
      <c r="C5" s="5" t="s">
        <v>47</v>
      </c>
      <c r="D5" s="5" t="s">
        <v>107</v>
      </c>
      <c r="E5" s="6">
        <f>'Quarterly Financials'!E7</f>
        <v>110</v>
      </c>
      <c r="F5" s="6">
        <f>E5-180</f>
        <v>-70</v>
      </c>
      <c r="G5" s="5" t="str">
        <f>IF(E5&gt;=180,"Met","Missed")</f>
        <v>Missed</v>
      </c>
      <c r="H5" s="5" t="s">
        <v>108</v>
      </c>
      <c r="I5" s="5" t="s">
        <v>104</v>
      </c>
      <c r="J5" s="5" t="s">
        <v>109</v>
      </c>
    </row>
    <row r="6" spans="1:10" ht="28">
      <c r="A6" s="5" t="s">
        <v>27</v>
      </c>
      <c r="B6" s="5" t="s">
        <v>110</v>
      </c>
      <c r="C6" s="5" t="s">
        <v>111</v>
      </c>
      <c r="D6" s="5" t="s">
        <v>112</v>
      </c>
      <c r="E6" s="9">
        <f>'Segment Data'!F5</f>
        <v>6.8681318681318659E-2</v>
      </c>
      <c r="F6" s="7">
        <f>E6-0.1</f>
        <v>-3.1318681318681346E-2</v>
      </c>
      <c r="G6" s="5" t="str">
        <f>IF(E6&gt;=0.1,"Met",IF(E6&gt;=0.08,"Partially Met","Missed"))</f>
        <v>Missed</v>
      </c>
      <c r="H6" s="5" t="s">
        <v>113</v>
      </c>
      <c r="I6" s="5" t="s">
        <v>104</v>
      </c>
      <c r="J6" s="5" t="s">
        <v>114</v>
      </c>
    </row>
    <row r="7" spans="1:10" ht="28">
      <c r="A7" s="5" t="s">
        <v>27</v>
      </c>
      <c r="B7" s="5" t="s">
        <v>115</v>
      </c>
      <c r="C7" s="5" t="s">
        <v>116</v>
      </c>
      <c r="D7" s="5" t="s">
        <v>117</v>
      </c>
      <c r="E7" s="9">
        <f>'Quarterly Financials'!F4</f>
        <v>0.14999999999999991</v>
      </c>
      <c r="F7" s="7">
        <f>E7-0.13</f>
        <v>1.9999999999999907E-2</v>
      </c>
      <c r="G7" s="5" t="str">
        <f>IF(AND(E7&gt;=0.13,E7&lt;=0.17),"Met","Missed")</f>
        <v>Met</v>
      </c>
      <c r="H7" s="5" t="s">
        <v>118</v>
      </c>
      <c r="I7" s="5" t="s">
        <v>104</v>
      </c>
      <c r="J7" s="5" t="s">
        <v>119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/>
  </sheetViews>
  <sheetFormatPr defaultRowHeight="14"/>
  <cols>
    <col min="1" max="1" width="26" customWidth="1"/>
    <col min="2" max="2" width="95" customWidth="1"/>
    <col min="3" max="3" width="32" customWidth="1"/>
    <col min="4" max="4" width="40" customWidth="1"/>
  </cols>
  <sheetData>
    <row r="1" spans="1:4" ht="18.649999999999999" customHeight="1">
      <c r="A1" s="12" t="s">
        <v>120</v>
      </c>
      <c r="B1" s="12"/>
      <c r="C1" s="12"/>
      <c r="D1" s="12"/>
    </row>
    <row r="3" spans="1:4">
      <c r="A3" s="4" t="s">
        <v>121</v>
      </c>
      <c r="B3" s="4" t="s">
        <v>122</v>
      </c>
      <c r="C3" s="4" t="s">
        <v>123</v>
      </c>
      <c r="D3" s="4" t="s">
        <v>124</v>
      </c>
    </row>
    <row r="4" spans="1:4">
      <c r="A4" s="5" t="s">
        <v>125</v>
      </c>
      <c r="B4" s="5" t="s">
        <v>126</v>
      </c>
      <c r="C4" s="5" t="s">
        <v>127</v>
      </c>
      <c r="D4" s="5" t="s">
        <v>128</v>
      </c>
    </row>
    <row r="5" spans="1:4">
      <c r="A5" s="5" t="s">
        <v>129</v>
      </c>
      <c r="B5" s="5" t="s">
        <v>130</v>
      </c>
      <c r="C5" s="5" t="s">
        <v>131</v>
      </c>
      <c r="D5" s="5" t="s">
        <v>132</v>
      </c>
    </row>
    <row r="6" spans="1:4" ht="28">
      <c r="A6" s="5" t="s">
        <v>133</v>
      </c>
      <c r="B6" s="5" t="s">
        <v>134</v>
      </c>
      <c r="C6" s="5" t="s">
        <v>135</v>
      </c>
      <c r="D6" s="5" t="s">
        <v>136</v>
      </c>
    </row>
    <row r="7" spans="1:4" ht="28">
      <c r="A7" s="5" t="s">
        <v>137</v>
      </c>
      <c r="B7" s="5" t="s">
        <v>138</v>
      </c>
      <c r="C7" s="5" t="s">
        <v>139</v>
      </c>
      <c r="D7" s="5" t="s">
        <v>140</v>
      </c>
    </row>
    <row r="8" spans="1:4" ht="28">
      <c r="A8" s="5" t="s">
        <v>141</v>
      </c>
      <c r="B8" s="5" t="s">
        <v>142</v>
      </c>
      <c r="C8" s="5" t="s">
        <v>143</v>
      </c>
      <c r="D8" s="5" t="s">
        <v>144</v>
      </c>
    </row>
    <row r="9" spans="1:4" ht="28">
      <c r="A9" s="5" t="s">
        <v>145</v>
      </c>
      <c r="B9" s="5" t="s">
        <v>146</v>
      </c>
      <c r="C9" s="5" t="s">
        <v>147</v>
      </c>
      <c r="D9" s="5" t="s">
        <v>148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"/>
  <sheetViews>
    <sheetView workbookViewId="0"/>
  </sheetViews>
  <sheetFormatPr defaultRowHeight="14"/>
  <cols>
    <col min="1" max="2" width="28" customWidth="1"/>
    <col min="3" max="3" width="38" customWidth="1"/>
    <col min="4" max="9" width="14" customWidth="1"/>
    <col min="10" max="10" width="46" customWidth="1"/>
  </cols>
  <sheetData>
    <row r="1" spans="1:10" ht="18.649999999999999" customHeight="1">
      <c r="A1" s="12" t="s">
        <v>149</v>
      </c>
      <c r="B1" s="12"/>
      <c r="C1" s="12"/>
      <c r="D1" s="12"/>
      <c r="E1" s="12"/>
      <c r="F1" s="12"/>
      <c r="G1" s="12"/>
      <c r="H1" s="12"/>
      <c r="I1" s="12"/>
      <c r="J1" s="12"/>
    </row>
    <row r="3" spans="1:10" ht="42">
      <c r="A3" s="4" t="s">
        <v>150</v>
      </c>
      <c r="B3" s="4" t="s">
        <v>151</v>
      </c>
      <c r="C3" s="4" t="s">
        <v>152</v>
      </c>
      <c r="D3" s="4" t="s">
        <v>153</v>
      </c>
      <c r="E3" s="4" t="s">
        <v>154</v>
      </c>
      <c r="F3" s="4" t="s">
        <v>155</v>
      </c>
      <c r="G3" s="4" t="s">
        <v>156</v>
      </c>
      <c r="H3" s="4" t="s">
        <v>157</v>
      </c>
      <c r="I3" s="4" t="s">
        <v>158</v>
      </c>
      <c r="J3" s="4" t="s">
        <v>159</v>
      </c>
    </row>
    <row r="4" spans="1:10" ht="28">
      <c r="A4" s="5" t="s">
        <v>160</v>
      </c>
      <c r="B4" s="5" t="s">
        <v>161</v>
      </c>
      <c r="C4" s="5" t="s">
        <v>162</v>
      </c>
      <c r="D4" s="5">
        <v>5</v>
      </c>
      <c r="E4" s="5">
        <v>5</v>
      </c>
      <c r="F4" s="5">
        <v>5</v>
      </c>
      <c r="G4" s="5">
        <v>4</v>
      </c>
      <c r="H4" s="5">
        <f t="shared" ref="H4:H10" si="0">SUM(D4:G4)</f>
        <v>19</v>
      </c>
      <c r="I4" s="5" t="str">
        <f t="shared" ref="I4:I10" si="1">IF(H4&gt;=16,"Critical",IF(H4&gt;=11,"High",IF(H4&gt;=6,"Moderate","Low")))</f>
        <v>Critical</v>
      </c>
      <c r="J4" s="5" t="s">
        <v>163</v>
      </c>
    </row>
    <row r="5" spans="1:10" ht="28">
      <c r="A5" s="5" t="s">
        <v>164</v>
      </c>
      <c r="B5" s="5" t="s">
        <v>165</v>
      </c>
      <c r="C5" s="5" t="s">
        <v>166</v>
      </c>
      <c r="D5" s="5">
        <v>5</v>
      </c>
      <c r="E5" s="5">
        <v>5</v>
      </c>
      <c r="F5" s="5">
        <v>4</v>
      </c>
      <c r="G5" s="5">
        <v>4</v>
      </c>
      <c r="H5" s="5">
        <f t="shared" si="0"/>
        <v>18</v>
      </c>
      <c r="I5" s="5" t="str">
        <f t="shared" si="1"/>
        <v>Critical</v>
      </c>
      <c r="J5" s="5" t="s">
        <v>167</v>
      </c>
    </row>
    <row r="6" spans="1:10" ht="28">
      <c r="A6" s="5" t="s">
        <v>133</v>
      </c>
      <c r="B6" s="5" t="s">
        <v>168</v>
      </c>
      <c r="C6" s="5" t="s">
        <v>169</v>
      </c>
      <c r="D6" s="5">
        <v>3</v>
      </c>
      <c r="E6" s="5">
        <v>4</v>
      </c>
      <c r="F6" s="5">
        <v>3</v>
      </c>
      <c r="G6" s="5">
        <v>4</v>
      </c>
      <c r="H6" s="5">
        <f t="shared" si="0"/>
        <v>14</v>
      </c>
      <c r="I6" s="5" t="str">
        <f t="shared" si="1"/>
        <v>High</v>
      </c>
      <c r="J6" s="5" t="s">
        <v>170</v>
      </c>
    </row>
    <row r="7" spans="1:10" ht="28">
      <c r="A7" s="5" t="s">
        <v>171</v>
      </c>
      <c r="B7" s="5" t="s">
        <v>172</v>
      </c>
      <c r="C7" s="5" t="s">
        <v>173</v>
      </c>
      <c r="D7" s="5">
        <v>4</v>
      </c>
      <c r="E7" s="5">
        <v>4</v>
      </c>
      <c r="F7" s="5">
        <v>5</v>
      </c>
      <c r="G7" s="5">
        <v>4</v>
      </c>
      <c r="H7" s="5">
        <f t="shared" si="0"/>
        <v>17</v>
      </c>
      <c r="I7" s="5" t="str">
        <f t="shared" si="1"/>
        <v>Critical</v>
      </c>
      <c r="J7" s="5" t="s">
        <v>174</v>
      </c>
    </row>
    <row r="8" spans="1:10" ht="28">
      <c r="A8" s="5" t="s">
        <v>175</v>
      </c>
      <c r="B8" s="5" t="s">
        <v>176</v>
      </c>
      <c r="C8" s="5" t="s">
        <v>177</v>
      </c>
      <c r="D8" s="5">
        <v>4</v>
      </c>
      <c r="E8" s="5">
        <v>4</v>
      </c>
      <c r="F8" s="5">
        <v>2</v>
      </c>
      <c r="G8" s="5">
        <v>3</v>
      </c>
      <c r="H8" s="5">
        <f t="shared" si="0"/>
        <v>13</v>
      </c>
      <c r="I8" s="5" t="str">
        <f t="shared" si="1"/>
        <v>High</v>
      </c>
      <c r="J8" s="5" t="s">
        <v>178</v>
      </c>
    </row>
    <row r="9" spans="1:10" ht="28">
      <c r="A9" s="5" t="s">
        <v>179</v>
      </c>
      <c r="B9" s="5" t="s">
        <v>180</v>
      </c>
      <c r="C9" s="5" t="s">
        <v>181</v>
      </c>
      <c r="D9" s="5">
        <v>3</v>
      </c>
      <c r="E9" s="5">
        <v>3</v>
      </c>
      <c r="F9" s="5">
        <v>2</v>
      </c>
      <c r="G9" s="5">
        <v>3</v>
      </c>
      <c r="H9" s="5">
        <f t="shared" si="0"/>
        <v>11</v>
      </c>
      <c r="I9" s="5" t="str">
        <f t="shared" si="1"/>
        <v>High</v>
      </c>
      <c r="J9" s="5" t="s">
        <v>182</v>
      </c>
    </row>
    <row r="10" spans="1:10" ht="28">
      <c r="A10" s="5" t="s">
        <v>183</v>
      </c>
      <c r="B10" s="5" t="s">
        <v>184</v>
      </c>
      <c r="C10" s="5" t="s">
        <v>185</v>
      </c>
      <c r="D10" s="5">
        <v>4</v>
      </c>
      <c r="E10" s="5">
        <v>4</v>
      </c>
      <c r="F10" s="5">
        <v>4</v>
      </c>
      <c r="G10" s="5">
        <v>4</v>
      </c>
      <c r="H10" s="5">
        <f t="shared" si="0"/>
        <v>16</v>
      </c>
      <c r="I10" s="5" t="str">
        <f t="shared" si="1"/>
        <v>Critical</v>
      </c>
      <c r="J10" s="5" t="s">
        <v>186</v>
      </c>
    </row>
  </sheetData>
  <mergeCells count="1">
    <mergeCell ref="A1:J1"/>
  </mergeCells>
  <conditionalFormatting sqref="I4:I10">
    <cfRule type="expression" dxfId="1" priority="1">
      <formula>I4="Critical"</formula>
    </cfRule>
    <cfRule type="expression" dxfId="0" priority="2">
      <formula>I4="High"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/>
  </sheetViews>
  <sheetFormatPr defaultRowHeight="14"/>
  <cols>
    <col min="1" max="1" width="10" customWidth="1"/>
    <col min="2" max="2" width="20" customWidth="1"/>
    <col min="3" max="3" width="62" customWidth="1"/>
    <col min="4" max="4" width="42" customWidth="1"/>
    <col min="5" max="5" width="44" customWidth="1"/>
    <col min="6" max="6" width="36" customWidth="1"/>
    <col min="7" max="7" width="14" customWidth="1"/>
    <col min="8" max="8" width="44" customWidth="1"/>
  </cols>
  <sheetData>
    <row r="1" spans="1:8" ht="18.649999999999999" customHeight="1">
      <c r="A1" s="12" t="s">
        <v>187</v>
      </c>
      <c r="B1" s="12"/>
      <c r="C1" s="12"/>
      <c r="D1" s="12"/>
      <c r="E1" s="12"/>
      <c r="F1" s="12"/>
      <c r="G1" s="12"/>
      <c r="H1" s="12"/>
    </row>
    <row r="3" spans="1:8">
      <c r="A3" s="4" t="s">
        <v>188</v>
      </c>
      <c r="B3" s="4" t="s">
        <v>189</v>
      </c>
      <c r="C3" s="4" t="s">
        <v>190</v>
      </c>
      <c r="D3" s="4" t="s">
        <v>191</v>
      </c>
      <c r="E3" s="4" t="s">
        <v>192</v>
      </c>
      <c r="F3" s="4" t="s">
        <v>193</v>
      </c>
      <c r="G3" s="4" t="s">
        <v>158</v>
      </c>
      <c r="H3" s="4" t="s">
        <v>194</v>
      </c>
    </row>
    <row r="4" spans="1:8" ht="28">
      <c r="A4" s="5">
        <v>1</v>
      </c>
      <c r="B4" s="5" t="s">
        <v>195</v>
      </c>
      <c r="C4" s="5" t="s">
        <v>196</v>
      </c>
      <c r="D4" s="5" t="s">
        <v>197</v>
      </c>
      <c r="E4" s="5" t="s">
        <v>198</v>
      </c>
      <c r="F4" s="5" t="s">
        <v>199</v>
      </c>
      <c r="G4" s="5" t="s">
        <v>200</v>
      </c>
      <c r="H4" s="5" t="s">
        <v>201</v>
      </c>
    </row>
    <row r="5" spans="1:8" ht="28">
      <c r="A5" s="5">
        <v>2</v>
      </c>
      <c r="B5" s="5" t="s">
        <v>202</v>
      </c>
      <c r="C5" s="5" t="s">
        <v>203</v>
      </c>
      <c r="D5" s="5" t="s">
        <v>204</v>
      </c>
      <c r="E5" s="5" t="s">
        <v>205</v>
      </c>
      <c r="F5" s="5" t="s">
        <v>206</v>
      </c>
      <c r="G5" s="5" t="s">
        <v>200</v>
      </c>
      <c r="H5" s="5" t="s">
        <v>207</v>
      </c>
    </row>
    <row r="6" spans="1:8" ht="28">
      <c r="A6" s="5">
        <v>3</v>
      </c>
      <c r="B6" s="5" t="s">
        <v>208</v>
      </c>
      <c r="C6" s="5" t="s">
        <v>209</v>
      </c>
      <c r="D6" s="5" t="s">
        <v>210</v>
      </c>
      <c r="E6" s="5" t="s">
        <v>211</v>
      </c>
      <c r="F6" s="5" t="s">
        <v>212</v>
      </c>
      <c r="G6" s="5" t="s">
        <v>213</v>
      </c>
      <c r="H6" s="5" t="s">
        <v>214</v>
      </c>
    </row>
    <row r="7" spans="1:8" ht="28">
      <c r="A7" s="5">
        <v>4</v>
      </c>
      <c r="B7" s="5" t="s">
        <v>215</v>
      </c>
      <c r="C7" s="5" t="s">
        <v>216</v>
      </c>
      <c r="D7" s="5" t="s">
        <v>217</v>
      </c>
      <c r="E7" s="5" t="s">
        <v>218</v>
      </c>
      <c r="F7" s="5" t="s">
        <v>219</v>
      </c>
      <c r="G7" s="5" t="s">
        <v>213</v>
      </c>
      <c r="H7" s="5" t="s">
        <v>220</v>
      </c>
    </row>
    <row r="8" spans="1:8" ht="28">
      <c r="A8" s="5">
        <v>5</v>
      </c>
      <c r="B8" s="5" t="s">
        <v>221</v>
      </c>
      <c r="C8" s="5" t="s">
        <v>222</v>
      </c>
      <c r="D8" s="5" t="s">
        <v>223</v>
      </c>
      <c r="E8" s="5" t="s">
        <v>224</v>
      </c>
      <c r="F8" s="5" t="s">
        <v>225</v>
      </c>
      <c r="G8" s="5" t="s">
        <v>213</v>
      </c>
      <c r="H8" s="5" t="s">
        <v>226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8"/>
  <sheetViews>
    <sheetView workbookViewId="0"/>
  </sheetViews>
  <sheetFormatPr defaultRowHeight="14"/>
  <cols>
    <col min="1" max="1" width="10" customWidth="1"/>
    <col min="2" max="2" width="48" customWidth="1"/>
    <col min="3" max="3" width="58" customWidth="1"/>
    <col min="4" max="7" width="42" customWidth="1"/>
    <col min="8" max="8" width="34" customWidth="1"/>
    <col min="9" max="10" width="16" customWidth="1"/>
    <col min="11" max="16" width="15" customWidth="1"/>
    <col min="17" max="17" width="24" customWidth="1"/>
  </cols>
  <sheetData>
    <row r="1" spans="1:17" ht="18.649999999999999" customHeight="1">
      <c r="A1" s="12" t="s">
        <v>227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ht="28">
      <c r="A3" s="4" t="s">
        <v>188</v>
      </c>
      <c r="B3" s="4" t="s">
        <v>190</v>
      </c>
      <c r="C3" s="4" t="s">
        <v>228</v>
      </c>
      <c r="D3" s="4" t="s">
        <v>229</v>
      </c>
      <c r="E3" s="4" t="s">
        <v>230</v>
      </c>
      <c r="F3" s="4" t="s">
        <v>231</v>
      </c>
      <c r="G3" s="4" t="s">
        <v>232</v>
      </c>
      <c r="H3" s="4" t="s">
        <v>233</v>
      </c>
      <c r="I3" s="4" t="s">
        <v>234</v>
      </c>
      <c r="J3" s="4" t="s">
        <v>235</v>
      </c>
      <c r="K3" s="4" t="s">
        <v>236</v>
      </c>
      <c r="L3" s="4" t="s">
        <v>237</v>
      </c>
      <c r="M3" s="4" t="s">
        <v>238</v>
      </c>
      <c r="N3" s="4" t="s">
        <v>239</v>
      </c>
      <c r="O3" s="4" t="s">
        <v>240</v>
      </c>
      <c r="P3" s="4" t="s">
        <v>241</v>
      </c>
      <c r="Q3" s="4" t="s">
        <v>242</v>
      </c>
    </row>
    <row r="4" spans="1:17" ht="42">
      <c r="A4" s="5">
        <v>1</v>
      </c>
      <c r="B4" s="5" t="s">
        <v>243</v>
      </c>
      <c r="C4" s="5" t="s">
        <v>244</v>
      </c>
      <c r="D4" s="5" t="s">
        <v>245</v>
      </c>
      <c r="E4" s="5" t="s">
        <v>246</v>
      </c>
      <c r="F4" s="5" t="s">
        <v>247</v>
      </c>
      <c r="G4" s="5" t="s">
        <v>248</v>
      </c>
      <c r="H4" s="5" t="s">
        <v>249</v>
      </c>
      <c r="I4" s="5" t="s">
        <v>250</v>
      </c>
      <c r="J4" s="5" t="s">
        <v>251</v>
      </c>
      <c r="K4" s="10">
        <v>4.5</v>
      </c>
      <c r="L4" s="10">
        <v>4.5</v>
      </c>
      <c r="M4" s="10">
        <v>4</v>
      </c>
      <c r="N4" s="10">
        <v>4</v>
      </c>
      <c r="O4" s="10">
        <v>4</v>
      </c>
      <c r="P4" s="10">
        <f>AVERAGE(K4:O4)</f>
        <v>4.2</v>
      </c>
      <c r="Q4" s="5" t="str">
        <f>IF(P4&gt;=4.5,"Strong",IF(P4&gt;=3.5,"Good — refine","Needs major improvement"))</f>
        <v>Good — refine</v>
      </c>
    </row>
    <row r="5" spans="1:17" ht="28">
      <c r="A5" s="5">
        <v>2</v>
      </c>
      <c r="B5" s="5" t="s">
        <v>252</v>
      </c>
      <c r="C5" s="5" t="s">
        <v>253</v>
      </c>
      <c r="D5" s="5" t="s">
        <v>254</v>
      </c>
      <c r="E5" s="5" t="s">
        <v>255</v>
      </c>
      <c r="F5" s="5" t="s">
        <v>256</v>
      </c>
      <c r="G5" s="5" t="s">
        <v>257</v>
      </c>
      <c r="H5" s="5" t="s">
        <v>258</v>
      </c>
      <c r="I5" s="5" t="s">
        <v>250</v>
      </c>
      <c r="J5" s="5" t="s">
        <v>251</v>
      </c>
      <c r="K5" s="10">
        <v>4.5</v>
      </c>
      <c r="L5" s="10">
        <v>4.5</v>
      </c>
      <c r="M5" s="10">
        <v>4.5</v>
      </c>
      <c r="N5" s="10">
        <v>4</v>
      </c>
      <c r="O5" s="10">
        <v>4</v>
      </c>
      <c r="P5" s="10">
        <f>AVERAGE(K5:O5)</f>
        <v>4.3</v>
      </c>
      <c r="Q5" s="5" t="str">
        <f>IF(P5&gt;=4.5,"Strong",IF(P5&gt;=3.5,"Good — refine","Needs major improvement"))</f>
        <v>Good — refine</v>
      </c>
    </row>
    <row r="6" spans="1:17" ht="28">
      <c r="A6" s="5">
        <v>3</v>
      </c>
      <c r="B6" s="5" t="s">
        <v>259</v>
      </c>
      <c r="C6" s="5" t="s">
        <v>260</v>
      </c>
      <c r="D6" s="5" t="s">
        <v>261</v>
      </c>
      <c r="E6" s="5" t="s">
        <v>262</v>
      </c>
      <c r="F6" s="5" t="s">
        <v>263</v>
      </c>
      <c r="G6" s="5" t="s">
        <v>264</v>
      </c>
      <c r="H6" s="5" t="s">
        <v>265</v>
      </c>
      <c r="I6" s="5" t="s">
        <v>250</v>
      </c>
      <c r="J6" s="5" t="s">
        <v>251</v>
      </c>
      <c r="K6" s="10">
        <v>4</v>
      </c>
      <c r="L6" s="10">
        <v>4</v>
      </c>
      <c r="M6" s="10">
        <v>4</v>
      </c>
      <c r="N6" s="10">
        <v>4.5</v>
      </c>
      <c r="O6" s="10">
        <v>4</v>
      </c>
      <c r="P6" s="10">
        <f>AVERAGE(K6:O6)</f>
        <v>4.0999999999999996</v>
      </c>
      <c r="Q6" s="5" t="str">
        <f>IF(P6&gt;=4.5,"Strong",IF(P6&gt;=3.5,"Good — refine","Needs major improvement"))</f>
        <v>Good — refine</v>
      </c>
    </row>
    <row r="7" spans="1:17" ht="28">
      <c r="A7" s="5">
        <v>4</v>
      </c>
      <c r="B7" s="5" t="s">
        <v>266</v>
      </c>
      <c r="C7" s="5" t="s">
        <v>267</v>
      </c>
      <c r="D7" s="5" t="s">
        <v>268</v>
      </c>
      <c r="E7" s="5" t="s">
        <v>269</v>
      </c>
      <c r="F7" s="5" t="s">
        <v>270</v>
      </c>
      <c r="G7" s="5" t="s">
        <v>271</v>
      </c>
      <c r="H7" s="5" t="s">
        <v>272</v>
      </c>
      <c r="I7" s="5" t="s">
        <v>250</v>
      </c>
      <c r="J7" s="5" t="s">
        <v>251</v>
      </c>
      <c r="K7" s="10">
        <v>5</v>
      </c>
      <c r="L7" s="10">
        <v>5</v>
      </c>
      <c r="M7" s="10">
        <v>5</v>
      </c>
      <c r="N7" s="10">
        <v>5</v>
      </c>
      <c r="O7" s="10">
        <v>4.5</v>
      </c>
      <c r="P7" s="10">
        <f>AVERAGE(K7:O7)</f>
        <v>4.9000000000000004</v>
      </c>
      <c r="Q7" s="5" t="str">
        <f>IF(P7&gt;=4.5,"Strong",IF(P7&gt;=3.5,"Good — refine","Needs major improvement"))</f>
        <v>Strong</v>
      </c>
    </row>
    <row r="8" spans="1:17" ht="42">
      <c r="A8" s="5">
        <v>5</v>
      </c>
      <c r="B8" s="5" t="s">
        <v>273</v>
      </c>
      <c r="C8" s="5" t="s">
        <v>274</v>
      </c>
      <c r="D8" s="5" t="s">
        <v>275</v>
      </c>
      <c r="E8" s="5" t="s">
        <v>276</v>
      </c>
      <c r="F8" s="5" t="s">
        <v>277</v>
      </c>
      <c r="G8" s="5" t="s">
        <v>278</v>
      </c>
      <c r="H8" s="5" t="s">
        <v>279</v>
      </c>
      <c r="I8" s="5" t="s">
        <v>251</v>
      </c>
      <c r="J8" s="5" t="s">
        <v>251</v>
      </c>
      <c r="K8" s="10">
        <v>4.5</v>
      </c>
      <c r="L8" s="10">
        <v>4</v>
      </c>
      <c r="M8" s="10">
        <v>4</v>
      </c>
      <c r="N8" s="10">
        <v>4.5</v>
      </c>
      <c r="O8" s="10">
        <v>4.5</v>
      </c>
      <c r="P8" s="10">
        <f>AVERAGE(K8:O8)</f>
        <v>4.3</v>
      </c>
      <c r="Q8" s="5" t="str">
        <f>IF(P8&gt;=4.5,"Strong",IF(P8&gt;=3.5,"Good — refine","Needs major improvement"))</f>
        <v>Good — refine</v>
      </c>
    </row>
  </sheetData>
  <mergeCells count="1">
    <mergeCell ref="A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workbookViewId="0"/>
  </sheetViews>
  <sheetFormatPr defaultRowHeight="14"/>
  <cols>
    <col min="1" max="1" width="10" customWidth="1"/>
    <col min="2" max="2" width="28" customWidth="1"/>
    <col min="3" max="3" width="54" customWidth="1"/>
    <col min="4" max="4" width="36" customWidth="1"/>
    <col min="5" max="5" width="50" customWidth="1"/>
    <col min="6" max="6" width="14" customWidth="1"/>
  </cols>
  <sheetData>
    <row r="1" spans="1:6" ht="18.649999999999999" customHeight="1">
      <c r="A1" s="12" t="s">
        <v>280</v>
      </c>
      <c r="B1" s="12"/>
      <c r="C1" s="12"/>
      <c r="D1" s="12"/>
      <c r="E1" s="12"/>
      <c r="F1" s="12"/>
    </row>
    <row r="3" spans="1:6">
      <c r="A3" s="4" t="s">
        <v>188</v>
      </c>
      <c r="B3" s="4" t="s">
        <v>281</v>
      </c>
      <c r="C3" s="4" t="s">
        <v>282</v>
      </c>
      <c r="D3" s="4" t="s">
        <v>229</v>
      </c>
      <c r="E3" s="4" t="s">
        <v>283</v>
      </c>
      <c r="F3" s="4" t="s">
        <v>284</v>
      </c>
    </row>
    <row r="4" spans="1:6" ht="28">
      <c r="A4" s="5">
        <v>1</v>
      </c>
      <c r="B4" s="5" t="s">
        <v>285</v>
      </c>
      <c r="C4" s="5" t="s">
        <v>286</v>
      </c>
      <c r="D4" s="5" t="s">
        <v>287</v>
      </c>
      <c r="E4" s="5" t="s">
        <v>288</v>
      </c>
      <c r="F4" s="5" t="s">
        <v>200</v>
      </c>
    </row>
    <row r="5" spans="1:6" ht="28">
      <c r="A5" s="5">
        <v>2</v>
      </c>
      <c r="B5" s="5" t="s">
        <v>289</v>
      </c>
      <c r="C5" s="5" t="s">
        <v>290</v>
      </c>
      <c r="D5" s="5" t="s">
        <v>254</v>
      </c>
      <c r="E5" s="5" t="s">
        <v>291</v>
      </c>
      <c r="F5" s="5" t="s">
        <v>200</v>
      </c>
    </row>
    <row r="6" spans="1:6" ht="28">
      <c r="A6" s="5">
        <v>3</v>
      </c>
      <c r="B6" s="5" t="s">
        <v>292</v>
      </c>
      <c r="C6" s="5" t="s">
        <v>293</v>
      </c>
      <c r="D6" s="5" t="s">
        <v>294</v>
      </c>
      <c r="E6" s="5" t="s">
        <v>295</v>
      </c>
      <c r="F6" s="5" t="s">
        <v>213</v>
      </c>
    </row>
    <row r="7" spans="1:6" ht="28">
      <c r="A7" s="5">
        <v>4</v>
      </c>
      <c r="B7" s="5" t="s">
        <v>296</v>
      </c>
      <c r="C7" s="5" t="s">
        <v>297</v>
      </c>
      <c r="D7" s="5" t="s">
        <v>298</v>
      </c>
      <c r="E7" s="5" t="s">
        <v>299</v>
      </c>
      <c r="F7" s="5" t="s">
        <v>213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1"/>
  <sheetViews>
    <sheetView workbookViewId="0"/>
  </sheetViews>
  <sheetFormatPr defaultRowHeight="14"/>
  <cols>
    <col min="1" max="1" width="10" customWidth="1"/>
    <col min="2" max="2" width="30" customWidth="1"/>
    <col min="3" max="3" width="20" customWidth="1"/>
    <col min="4" max="7" width="14" customWidth="1"/>
    <col min="8" max="8" width="20" customWidth="1"/>
    <col min="9" max="12" width="18" customWidth="1"/>
  </cols>
  <sheetData>
    <row r="1" spans="1:12" ht="18.649999999999999" customHeight="1">
      <c r="A1" s="12" t="s">
        <v>300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>
      <c r="A2" s="15" t="s">
        <v>301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4" spans="1:12">
      <c r="A4" s="16" t="s">
        <v>35</v>
      </c>
      <c r="B4" s="16"/>
      <c r="C4" s="16" t="s">
        <v>42</v>
      </c>
      <c r="D4" s="16"/>
      <c r="E4" s="16" t="s">
        <v>47</v>
      </c>
      <c r="F4" s="16"/>
      <c r="G4" s="16" t="s">
        <v>77</v>
      </c>
      <c r="H4" s="16"/>
      <c r="I4" s="16" t="s">
        <v>80</v>
      </c>
      <c r="J4" s="16"/>
      <c r="K4" s="16" t="s">
        <v>83</v>
      </c>
      <c r="L4" s="16"/>
    </row>
    <row r="5" spans="1:12" ht="19">
      <c r="A5" s="17">
        <f>'Quarterly Financials'!E4</f>
        <v>1150</v>
      </c>
      <c r="B5" s="17"/>
      <c r="C5" s="19">
        <f>'Quarterly Financials'!E6</f>
        <v>0.18</v>
      </c>
      <c r="D5" s="19"/>
      <c r="E5" s="17">
        <f>'Quarterly Financials'!E7</f>
        <v>110</v>
      </c>
      <c r="F5" s="17"/>
      <c r="G5" s="17">
        <f>'Segment Data'!E4</f>
        <v>500</v>
      </c>
      <c r="H5" s="17"/>
      <c r="I5" s="17">
        <f>'Segment Data'!E5</f>
        <v>389</v>
      </c>
      <c r="J5" s="17"/>
      <c r="K5" s="17">
        <f>'Segment Data'!E6</f>
        <v>261</v>
      </c>
      <c r="L5" s="17"/>
    </row>
    <row r="6" spans="1:12">
      <c r="A6" s="18" t="s">
        <v>302</v>
      </c>
      <c r="B6" s="18"/>
      <c r="C6" s="20" t="s">
        <v>303</v>
      </c>
      <c r="D6" s="20"/>
      <c r="E6" s="20" t="s">
        <v>304</v>
      </c>
      <c r="F6" s="20"/>
      <c r="G6" s="18" t="s">
        <v>305</v>
      </c>
      <c r="H6" s="18"/>
      <c r="I6" s="21" t="s">
        <v>306</v>
      </c>
      <c r="J6" s="21"/>
      <c r="K6" s="21" t="s">
        <v>307</v>
      </c>
      <c r="L6" s="21"/>
    </row>
    <row r="8" spans="1:12">
      <c r="A8" s="13" t="s">
        <v>308</v>
      </c>
      <c r="B8" s="13"/>
      <c r="C8" s="13"/>
      <c r="D8" s="13"/>
      <c r="E8" s="13"/>
      <c r="F8" s="13"/>
      <c r="H8" s="13" t="s">
        <v>309</v>
      </c>
      <c r="I8" s="13"/>
      <c r="J8" s="13"/>
      <c r="K8" s="13"/>
      <c r="L8" s="13"/>
    </row>
    <row r="9" spans="1:12">
      <c r="A9" s="4" t="s">
        <v>310</v>
      </c>
      <c r="B9" s="4" t="s">
        <v>281</v>
      </c>
      <c r="C9" s="4" t="s">
        <v>311</v>
      </c>
      <c r="D9" s="4" t="s">
        <v>284</v>
      </c>
      <c r="E9" s="4" t="s">
        <v>152</v>
      </c>
      <c r="F9" s="4" t="s">
        <v>312</v>
      </c>
      <c r="H9" s="22" t="s">
        <v>243</v>
      </c>
      <c r="I9" s="22"/>
      <c r="J9" s="22"/>
      <c r="K9" s="22"/>
      <c r="L9" s="22"/>
    </row>
    <row r="10" spans="1:12" ht="56">
      <c r="A10" s="3">
        <v>1</v>
      </c>
      <c r="B10" s="3" t="s">
        <v>160</v>
      </c>
      <c r="C10" s="3">
        <v>19</v>
      </c>
      <c r="D10" s="3" t="s">
        <v>200</v>
      </c>
      <c r="E10" s="3" t="s">
        <v>162</v>
      </c>
      <c r="F10" s="3" t="s">
        <v>313</v>
      </c>
      <c r="H10" s="11" t="s">
        <v>229</v>
      </c>
      <c r="I10" s="23" t="s">
        <v>314</v>
      </c>
      <c r="J10" s="23"/>
      <c r="K10" s="23"/>
      <c r="L10" s="23"/>
    </row>
    <row r="11" spans="1:12" ht="56">
      <c r="A11" s="3">
        <v>2</v>
      </c>
      <c r="B11" s="3" t="s">
        <v>164</v>
      </c>
      <c r="C11" s="3">
        <v>18</v>
      </c>
      <c r="D11" s="3" t="s">
        <v>200</v>
      </c>
      <c r="E11" s="3" t="s">
        <v>166</v>
      </c>
      <c r="F11" s="3" t="s">
        <v>315</v>
      </c>
      <c r="H11" s="11" t="s">
        <v>316</v>
      </c>
      <c r="I11" s="23" t="s">
        <v>317</v>
      </c>
      <c r="J11" s="23"/>
      <c r="K11" s="23"/>
      <c r="L11" s="23"/>
    </row>
    <row r="12" spans="1:12" ht="56">
      <c r="A12" s="3">
        <v>3</v>
      </c>
      <c r="B12" s="3" t="s">
        <v>171</v>
      </c>
      <c r="C12" s="3">
        <v>17</v>
      </c>
      <c r="D12" s="3" t="s">
        <v>200</v>
      </c>
      <c r="E12" s="3" t="s">
        <v>318</v>
      </c>
      <c r="F12" s="3" t="s">
        <v>319</v>
      </c>
      <c r="H12" s="11" t="s">
        <v>320</v>
      </c>
      <c r="I12" s="23" t="s">
        <v>321</v>
      </c>
      <c r="J12" s="23"/>
      <c r="K12" s="23"/>
      <c r="L12" s="23"/>
    </row>
    <row r="13" spans="1:12" ht="56">
      <c r="A13" s="3">
        <v>4</v>
      </c>
      <c r="B13" s="3" t="s">
        <v>133</v>
      </c>
      <c r="C13" s="3">
        <v>14</v>
      </c>
      <c r="D13" s="3" t="s">
        <v>213</v>
      </c>
      <c r="E13" s="3" t="s">
        <v>322</v>
      </c>
      <c r="F13" s="3" t="s">
        <v>323</v>
      </c>
      <c r="H13" s="11" t="s">
        <v>324</v>
      </c>
      <c r="I13" s="23" t="s">
        <v>325</v>
      </c>
      <c r="J13" s="23"/>
      <c r="K13" s="23"/>
      <c r="L13" s="23"/>
    </row>
    <row r="14" spans="1:12" ht="42">
      <c r="A14" s="3">
        <v>5</v>
      </c>
      <c r="B14" s="3" t="s">
        <v>175</v>
      </c>
      <c r="C14" s="3">
        <v>13</v>
      </c>
      <c r="D14" s="3" t="s">
        <v>213</v>
      </c>
      <c r="E14" s="3" t="s">
        <v>326</v>
      </c>
      <c r="F14" s="3" t="s">
        <v>327</v>
      </c>
      <c r="H14" s="11" t="s">
        <v>328</v>
      </c>
      <c r="I14" s="23" t="s">
        <v>329</v>
      </c>
      <c r="J14" s="23"/>
      <c r="K14" s="23"/>
      <c r="L14" s="23"/>
    </row>
    <row r="17" spans="1:12">
      <c r="A17" s="13" t="s">
        <v>330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1:12">
      <c r="A18" s="4" t="s">
        <v>188</v>
      </c>
      <c r="B18" s="4" t="s">
        <v>331</v>
      </c>
      <c r="C18" s="4" t="s">
        <v>332</v>
      </c>
    </row>
    <row r="19" spans="1:12">
      <c r="A19" s="1">
        <v>1</v>
      </c>
      <c r="B19" s="1" t="s">
        <v>285</v>
      </c>
      <c r="C19" s="23" t="s">
        <v>333</v>
      </c>
      <c r="D19" s="23"/>
      <c r="E19" s="23"/>
      <c r="F19" s="23"/>
      <c r="G19" s="23"/>
      <c r="H19" s="23"/>
      <c r="I19" s="23"/>
      <c r="J19" s="23"/>
      <c r="K19" s="23"/>
      <c r="L19" s="23"/>
    </row>
    <row r="20" spans="1:12">
      <c r="A20" s="1">
        <v>2</v>
      </c>
      <c r="B20" s="1" t="s">
        <v>289</v>
      </c>
      <c r="C20" s="23" t="s">
        <v>334</v>
      </c>
      <c r="D20" s="23"/>
      <c r="E20" s="23"/>
      <c r="F20" s="23"/>
      <c r="G20" s="23"/>
      <c r="H20" s="23"/>
      <c r="I20" s="23"/>
      <c r="J20" s="23"/>
      <c r="K20" s="23"/>
      <c r="L20" s="23"/>
    </row>
    <row r="21" spans="1:12">
      <c r="A21" s="1">
        <v>3</v>
      </c>
      <c r="B21" s="1" t="s">
        <v>292</v>
      </c>
      <c r="C21" s="23" t="s">
        <v>335</v>
      </c>
      <c r="D21" s="23"/>
      <c r="E21" s="23"/>
      <c r="F21" s="23"/>
      <c r="G21" s="23"/>
      <c r="H21" s="23"/>
      <c r="I21" s="23"/>
      <c r="J21" s="23"/>
      <c r="K21" s="23"/>
      <c r="L21" s="23"/>
    </row>
  </sheetData>
  <mergeCells count="32">
    <mergeCell ref="I14:L14"/>
    <mergeCell ref="A17:L17"/>
    <mergeCell ref="C19:L19"/>
    <mergeCell ref="C20:L20"/>
    <mergeCell ref="C21:L21"/>
    <mergeCell ref="H9:L9"/>
    <mergeCell ref="I10:L10"/>
    <mergeCell ref="I11:L11"/>
    <mergeCell ref="I12:L12"/>
    <mergeCell ref="I13:L13"/>
    <mergeCell ref="I6:J6"/>
    <mergeCell ref="K4:L4"/>
    <mergeCell ref="K5:L5"/>
    <mergeCell ref="K6:L6"/>
    <mergeCell ref="A8:F8"/>
    <mergeCell ref="H8:L8"/>
    <mergeCell ref="A1:L1"/>
    <mergeCell ref="A2:L2"/>
    <mergeCell ref="A4:B4"/>
    <mergeCell ref="A5:B5"/>
    <mergeCell ref="A6:B6"/>
    <mergeCell ref="C4:D4"/>
    <mergeCell ref="C5:D5"/>
    <mergeCell ref="C6:D6"/>
    <mergeCell ref="E4:F4"/>
    <mergeCell ref="E5:F5"/>
    <mergeCell ref="E6:F6"/>
    <mergeCell ref="G4:H4"/>
    <mergeCell ref="G5:H5"/>
    <mergeCell ref="G6:H6"/>
    <mergeCell ref="I4:J4"/>
    <mergeCell ref="I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</vt:lpstr>
      <vt:lpstr>Quarterly Financials</vt:lpstr>
      <vt:lpstr>Segment Data</vt:lpstr>
      <vt:lpstr>Management Commitments</vt:lpstr>
      <vt:lpstr>Management Commentary</vt:lpstr>
      <vt:lpstr>Investor Risk Map</vt:lpstr>
      <vt:lpstr>Investor Questions</vt:lpstr>
      <vt:lpstr>Response Review</vt:lpstr>
      <vt:lpstr>Leadership Preparation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PANDEY - 80662500072</cp:lastModifiedBy>
  <dcterms:modified xsi:type="dcterms:W3CDTF">2026-10-04T09:01:47Z</dcterms:modified>
</cp:coreProperties>
</file>